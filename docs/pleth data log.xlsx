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log" sheetId="1" r:id="rId5"/>
  </sheets>
  <definedNames>
    <definedName hidden="1" localSheetId="0" name="_xlnm._FilterDatabase">'data log'!$A$1:$AL$999</definedName>
  </definedNames>
  <calcPr/>
</workbook>
</file>

<file path=xl/sharedStrings.xml><?xml version="1.0" encoding="utf-8"?>
<sst xmlns="http://schemas.openxmlformats.org/spreadsheetml/2006/main" count="680" uniqueCount="199">
  <si>
    <t>file name</t>
  </si>
  <si>
    <t>experiment date</t>
  </si>
  <si>
    <t>genotype (het vs WT)</t>
  </si>
  <si>
    <t>experiment</t>
  </si>
  <si>
    <t>condition</t>
  </si>
  <si>
    <t>age (P19 vs P22)</t>
  </si>
  <si>
    <t>Seizure offset or equivalent time (sec from lid closure) -- all trials</t>
  </si>
  <si>
    <t>Survivors vs eventual SUDEP (P19 trace)</t>
  </si>
  <si>
    <t>Maximum racine score</t>
  </si>
  <si>
    <t>seizure offset or equivalent time (sec from lid closure) - trials used for cross-correlation</t>
  </si>
  <si>
    <t>Krystal's offset times</t>
  </si>
  <si>
    <t>Ruitao's offset times</t>
  </si>
  <si>
    <t>Krystal &amp; Ruitao offset times (average)</t>
  </si>
  <si>
    <t>Krystal vs Ruitao offset times (delta)</t>
  </si>
  <si>
    <t>unexpected seizure? (timestamp vs 0)</t>
  </si>
  <si>
    <t>SUDEP notes</t>
  </si>
  <si>
    <t>technical notes</t>
  </si>
  <si>
    <t>250304 4055 p22</t>
  </si>
  <si>
    <t>WT</t>
  </si>
  <si>
    <t xml:space="preserve">HR vs LR </t>
  </si>
  <si>
    <t>high risk</t>
  </si>
  <si>
    <t>no video</t>
  </si>
  <si>
    <t>used pleth data for timestamp, no video</t>
  </si>
  <si>
    <t>250304 4056 p22</t>
  </si>
  <si>
    <t>het</t>
  </si>
  <si>
    <t>HR vs LR</t>
  </si>
  <si>
    <t>lost</t>
  </si>
  <si>
    <t>spontaneous seizure w/ near SUDEP</t>
  </si>
  <si>
    <t>Time of recording of this one is longer/ different because we let it recover after a spontaneous seizure that was almost a SUDEP event at 6:27. The chamber was opened at 7:18 to resuscitate the mouse. Mouse was put back 7:46. used pleth data for timestamp, no video</t>
  </si>
  <si>
    <t>250304 4057 p22</t>
  </si>
  <si>
    <t>low risk</t>
  </si>
  <si>
    <t>250304 4058 p22</t>
  </si>
  <si>
    <t>250304 4059 p22</t>
  </si>
  <si>
    <t>250307 4050 p22</t>
  </si>
  <si>
    <t>het pair died</t>
  </si>
  <si>
    <t>250307 4051 p22</t>
  </si>
  <si>
    <t>pending</t>
  </si>
  <si>
    <t>SUDEP in pleth chamber after heating in 32 s</t>
  </si>
  <si>
    <t>250307 4052 p22</t>
  </si>
  <si>
    <t>250325 4169 p19</t>
  </si>
  <si>
    <t>survivor</t>
  </si>
  <si>
    <t>250325 4170 p19</t>
  </si>
  <si>
    <t>250325 4171 p19</t>
  </si>
  <si>
    <t>video did not capture seizure in pleth chamber. need to use movement as offset</t>
  </si>
  <si>
    <t>250325 4173 p19</t>
  </si>
  <si>
    <t>250325 4174 p19</t>
  </si>
  <si>
    <t>250328 4169 p22</t>
  </si>
  <si>
    <t>250328 4170 p22</t>
  </si>
  <si>
    <t>250328 4171 p22</t>
  </si>
  <si>
    <t>250328 4172 p22</t>
  </si>
  <si>
    <t>250328 4173 p22</t>
  </si>
  <si>
    <t>250328 4174 p22</t>
  </si>
  <si>
    <t>250328 4175 p22</t>
  </si>
  <si>
    <t>250328 4177 p22</t>
  </si>
  <si>
    <t>250420 4263 p19</t>
  </si>
  <si>
    <t>250420 4264 p19</t>
  </si>
  <si>
    <t>250420 4265 p19</t>
  </si>
  <si>
    <t>250420 4266 p19</t>
  </si>
  <si>
    <t>250420 4267 p19</t>
  </si>
  <si>
    <t>250420 4269 p19</t>
  </si>
  <si>
    <t>SUDEP</t>
  </si>
  <si>
    <t>SUDEP during habituation at P22 (see below)</t>
  </si>
  <si>
    <t>250423 4263 p22</t>
  </si>
  <si>
    <t>250423 4264 p22</t>
  </si>
  <si>
    <t>250423 4265 p22</t>
  </si>
  <si>
    <t>250423 4266 p22</t>
  </si>
  <si>
    <t>250423 4267 p22</t>
  </si>
  <si>
    <t>250423 4268 p22</t>
  </si>
  <si>
    <t>chamber resealed after ~118s after closing lid (after heating)</t>
  </si>
  <si>
    <t>taken out from graphs?</t>
  </si>
  <si>
    <t>250423 4269 p22</t>
  </si>
  <si>
    <t>N/A</t>
  </si>
  <si>
    <t>SUDEP during habituation</t>
  </si>
  <si>
    <t>SUDEP during habituation (first 15 of recording) 10:05 mins after put in, sz starts and dies 34 seconds after. recording starts in 25.4 seconds. Sz at 10 mins</t>
  </si>
  <si>
    <t>250423 4270 p22</t>
  </si>
  <si>
    <t xml:space="preserve">het </t>
  </si>
  <si>
    <t>250423 4271 p22</t>
  </si>
  <si>
    <t>251024 5047 p19</t>
  </si>
  <si>
    <t>Died before p22 recording</t>
  </si>
  <si>
    <t>251024 5048 p19</t>
  </si>
  <si>
    <t>251024 5049 p19</t>
  </si>
  <si>
    <t>251024 5050 p19</t>
  </si>
  <si>
    <t>251024 5052 p19</t>
  </si>
  <si>
    <t>251027 5046 p22</t>
  </si>
  <si>
    <t>251027 5049 p22</t>
  </si>
  <si>
    <t>251027 5051 p22</t>
  </si>
  <si>
    <t>251027 5052 p22</t>
  </si>
  <si>
    <t>251027 5053 p22</t>
  </si>
  <si>
    <t>260116 5297 p19</t>
  </si>
  <si>
    <t>260116 5298 p19</t>
  </si>
  <si>
    <t>260116 5301 p19</t>
  </si>
  <si>
    <t>260116 5302 p19</t>
  </si>
  <si>
    <t>260116 5303 p19</t>
  </si>
  <si>
    <t>260116 5304 p19</t>
  </si>
  <si>
    <t>260117 5305 p22</t>
  </si>
  <si>
    <t>260117 5306 p22</t>
  </si>
  <si>
    <t>260117 5308 p22</t>
  </si>
  <si>
    <t>confident that seizure was not recorded with pleth</t>
  </si>
  <si>
    <t>260117 5309 p22</t>
  </si>
  <si>
    <t>260117 5310 p22</t>
  </si>
  <si>
    <t>failed seizure induction - NO SEIZURE - timestamp from other het that had seizure during session - ACTUALLY A WT!!</t>
  </si>
  <si>
    <t>260117 5311 p22</t>
  </si>
  <si>
    <t>260119 5297 p22</t>
  </si>
  <si>
    <t>12 - 12:30</t>
  </si>
  <si>
    <t>SEIZURE DURING HABITUATION - VIDEO FAILED TO SAVE, SZ OFFSET MEASURED FROM PLETH MOVEMENT</t>
  </si>
  <si>
    <t>260119 5301 p22</t>
  </si>
  <si>
    <t>260119 5303 p22</t>
  </si>
  <si>
    <t>260119 5304 p22</t>
  </si>
  <si>
    <t>020826 5401 p19</t>
  </si>
  <si>
    <t>FFA vs vehicle - chronic</t>
  </si>
  <si>
    <t>FFA - chronic</t>
  </si>
  <si>
    <t>020826 5402 p19</t>
  </si>
  <si>
    <t>020826 5403 p19</t>
  </si>
  <si>
    <t>double check sz duration</t>
  </si>
  <si>
    <t>020826 5404 p19</t>
  </si>
  <si>
    <t>020826 5405 p19</t>
  </si>
  <si>
    <t xml:space="preserve">signal was low </t>
  </si>
  <si>
    <t>020826 5406 p19</t>
  </si>
  <si>
    <t>VEH - chronic</t>
  </si>
  <si>
    <t>020826 5407 p19</t>
  </si>
  <si>
    <t>very short seizure</t>
  </si>
  <si>
    <t>020826 5408 p19</t>
  </si>
  <si>
    <t>020826 5409 p19</t>
  </si>
  <si>
    <t>020826 5411 p19</t>
  </si>
  <si>
    <t>020826 5412 p19</t>
  </si>
  <si>
    <t>021126 5401 p22</t>
  </si>
  <si>
    <t>021126 5402 p22</t>
  </si>
  <si>
    <t>021126 5403 p22</t>
  </si>
  <si>
    <t>021126 5404 p22</t>
  </si>
  <si>
    <t>021126 5405 p22</t>
  </si>
  <si>
    <t>021126 5406 p22</t>
  </si>
  <si>
    <t>021126 5407 p22</t>
  </si>
  <si>
    <t>021126 5408 p22</t>
  </si>
  <si>
    <t>021126 5409 p22</t>
  </si>
  <si>
    <t>021126 5411 p22</t>
  </si>
  <si>
    <t>021126 5412 p22</t>
  </si>
  <si>
    <t>030526 5441 p19</t>
  </si>
  <si>
    <t>030526 5442 p19</t>
  </si>
  <si>
    <t>030526 5443 p19</t>
  </si>
  <si>
    <t>030526 5444 p19</t>
  </si>
  <si>
    <t>030526 5445 p19</t>
  </si>
  <si>
    <t>030826 5442 p22</t>
  </si>
  <si>
    <t>030826 5443 p22</t>
  </si>
  <si>
    <t>030826 5445 p22</t>
  </si>
  <si>
    <t>032126 5503 p19</t>
  </si>
  <si>
    <t>032126 5504 p19</t>
  </si>
  <si>
    <t>032126 5505 p19</t>
  </si>
  <si>
    <t>032126 5506 p19</t>
  </si>
  <si>
    <t>032126 5507 p19</t>
  </si>
  <si>
    <t>032426 5503 p22</t>
  </si>
  <si>
    <t>032426 5504 p22</t>
  </si>
  <si>
    <t>032426 5505 p22</t>
  </si>
  <si>
    <t>Spontaneous seizure during baseline, lasting 75 seconds</t>
  </si>
  <si>
    <t>032426 5506 p22</t>
  </si>
  <si>
    <t>032426 5507 p22</t>
  </si>
  <si>
    <t>032726 5514 p19</t>
  </si>
  <si>
    <t>032726 5515 p19</t>
  </si>
  <si>
    <t>032726 5516 p19</t>
  </si>
  <si>
    <t>032726 5517 p19</t>
  </si>
  <si>
    <t>no</t>
  </si>
  <si>
    <t>032726 5518 p19</t>
  </si>
  <si>
    <t>032726 5519 p19</t>
  </si>
  <si>
    <t>033026 5514 p22</t>
  </si>
  <si>
    <t>SUDEP after hyperthermia</t>
  </si>
  <si>
    <t>033026 5516 p22</t>
  </si>
  <si>
    <t>033026 5517 p22</t>
  </si>
  <si>
    <t>033026 5518 p22</t>
  </si>
  <si>
    <t>yes</t>
  </si>
  <si>
    <t>033026 5519 p22</t>
  </si>
  <si>
    <t>041026 5544 p19</t>
  </si>
  <si>
    <t>041026 5545 p19</t>
  </si>
  <si>
    <t>041026 5546 p19</t>
  </si>
  <si>
    <t>041026 5547 p19</t>
  </si>
  <si>
    <t>041026 5548 p19</t>
  </si>
  <si>
    <t>Paired sz duration with 5552</t>
  </si>
  <si>
    <t>041026 5549 p19</t>
  </si>
  <si>
    <t>041026 5552 p19</t>
  </si>
  <si>
    <t>041326 5544 p22</t>
  </si>
  <si>
    <t>041326 5545 p22</t>
  </si>
  <si>
    <t>041326 5546 p22</t>
  </si>
  <si>
    <t>041326 5548 p22</t>
  </si>
  <si>
    <t>041326 5549 p22</t>
  </si>
  <si>
    <t>041326 5552 p22</t>
  </si>
  <si>
    <t>040226 5336 p22</t>
  </si>
  <si>
    <t>FFA vs vehicle - acute</t>
  </si>
  <si>
    <t>FFA - acute</t>
  </si>
  <si>
    <t>040226 5337 p22</t>
  </si>
  <si>
    <t>040226 5338 p22</t>
  </si>
  <si>
    <t>VEH - acute</t>
  </si>
  <si>
    <t>040226 5339 p22</t>
  </si>
  <si>
    <t>040226 5340 p22</t>
  </si>
  <si>
    <t>correct ID is 5540</t>
  </si>
  <si>
    <t>040226 5342 p22</t>
  </si>
  <si>
    <t>unexpected seizure duration 5s - correct ID is 5542</t>
  </si>
  <si>
    <t>260420 5558 p22</t>
  </si>
  <si>
    <t>260420 5559 p22</t>
  </si>
  <si>
    <t>260420 5560 p22</t>
  </si>
  <si>
    <t>260420 5561 p22</t>
  </si>
  <si>
    <t>260420 5562 p22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</si>
</sst>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3"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wrapText="1"/>
    </xf>
    <xf borderId="0" fillId="2" fontId="1" numFmtId="1" xfId="0" applyAlignment="1" applyFont="1" applyNumberFormat="1">
      <alignment horizontal="left" readingOrder="0" shrinkToFit="0" wrapText="1"/>
    </xf>
    <xf borderId="0" fillId="2" fontId="1" numFmtId="4" xfId="0" applyAlignment="1" applyFont="1" applyNumberFormat="1">
      <alignment horizontal="left" readingOrder="0" shrinkToFit="0" wrapText="1"/>
    </xf>
    <xf borderId="0" fillId="2" fontId="0" numFmtId="0" xfId="0" applyAlignment="1" applyFont="1">
      <alignment horizontal="left" shrinkToFit="0" wrapText="1"/>
    </xf>
    <xf borderId="0" fillId="2" fontId="1" numFmtId="0" xfId="0" applyAlignment="1" applyFont="1">
      <alignment horizontal="left" shrinkToFit="0" wrapText="1"/>
    </xf>
    <xf borderId="0" fillId="0" fontId="0" numFmtId="0" xfId="0" applyAlignment="1" applyFont="1">
      <alignment horizontal="left" readingOrder="0"/>
    </xf>
    <xf borderId="0" fillId="0" fontId="0" numFmtId="164" xfId="0" applyAlignment="1" applyFont="1" applyNumberFormat="1">
      <alignment horizontal="left" readingOrder="0"/>
    </xf>
    <xf borderId="0" fillId="2" fontId="0" numFmtId="0" xfId="0" applyAlignment="1" applyFont="1">
      <alignment horizontal="left" readingOrder="0"/>
    </xf>
    <xf borderId="0" fillId="0" fontId="0" numFmtId="4" xfId="0" applyAlignment="1" applyFont="1" applyNumberFormat="1">
      <alignment horizontal="left" readingOrder="0"/>
    </xf>
    <xf borderId="0" fillId="0" fontId="0" numFmtId="0" xfId="0" applyAlignment="1" applyFont="1">
      <alignment horizontal="left"/>
    </xf>
    <xf borderId="0" fillId="2" fontId="0" numFmtId="164" xfId="0" applyAlignment="1" applyFont="1" applyNumberFormat="1">
      <alignment horizontal="left" readingOrder="0"/>
    </xf>
    <xf borderId="0" fillId="2" fontId="0" numFmtId="20" xfId="0" applyAlignment="1" applyFont="1" applyNumberFormat="1">
      <alignment horizontal="left" readingOrder="0"/>
    </xf>
    <xf borderId="0" fillId="2" fontId="0" numFmtId="0" xfId="0" applyAlignment="1" applyFont="1">
      <alignment horizontal="left"/>
    </xf>
    <xf borderId="0" fillId="3" fontId="0" numFmtId="0" xfId="0" applyAlignment="1" applyFill="1" applyFont="1">
      <alignment horizontal="left" readingOrder="0"/>
    </xf>
    <xf borderId="0" fillId="3" fontId="0" numFmtId="4" xfId="0" applyAlignment="1" applyFont="1" applyNumberFormat="1">
      <alignment horizontal="left" readingOrder="0"/>
    </xf>
    <xf borderId="0" fillId="4" fontId="0" numFmtId="0" xfId="0" applyAlignment="1" applyFill="1" applyFont="1">
      <alignment horizontal="left" readingOrder="0"/>
    </xf>
    <xf borderId="0" fillId="2" fontId="0" numFmtId="0" xfId="0" applyAlignment="1" applyFont="1">
      <alignment horizontal="left" readingOrder="0" vertical="bottom"/>
    </xf>
    <xf borderId="0" fillId="2" fontId="0" numFmtId="164" xfId="0" applyAlignment="1" applyFont="1" applyNumberFormat="1">
      <alignment horizontal="left" vertical="bottom"/>
    </xf>
    <xf borderId="0" fillId="2" fontId="0" numFmtId="0" xfId="0" applyAlignment="1" applyFont="1">
      <alignment horizontal="left" vertical="bottom"/>
    </xf>
    <xf borderId="0" fillId="2" fontId="0" numFmtId="164" xfId="0" applyAlignment="1" applyFont="1" applyNumberFormat="1">
      <alignment horizontal="left" readingOrder="0" vertical="bottom"/>
    </xf>
    <xf borderId="0" fillId="2" fontId="0" numFmtId="0" xfId="0" applyAlignment="1" applyFont="1">
      <alignment horizontal="left" readingOrder="0" shrinkToFit="0" vertical="bottom" wrapText="1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/>
    </xf>
    <xf borderId="0" fillId="0" fontId="0" numFmtId="0" xfId="0" applyAlignment="1" applyFont="1">
      <alignment horizontal="left" readingOrder="0" shrinkToFit="0" vertical="bottom" wrapText="1"/>
    </xf>
    <xf borderId="0" fillId="0" fontId="0" numFmtId="0" xfId="0" applyAlignment="1" applyFont="1">
      <alignment horizontal="left" readingOrder="0" vertical="bottom"/>
    </xf>
    <xf borderId="0" fillId="3" fontId="0" numFmtId="0" xfId="0" applyAlignment="1" applyFont="1">
      <alignment horizontal="left" readingOrder="0" vertical="bottom"/>
    </xf>
    <xf borderId="0" fillId="0" fontId="0" numFmtId="164" xfId="0" applyAlignment="1" applyFont="1" applyNumberFormat="1">
      <alignment horizontal="left" vertical="bottom"/>
    </xf>
    <xf borderId="0" fillId="0" fontId="0" numFmtId="0" xfId="0" applyAlignment="1" applyFont="1">
      <alignment horizontal="left" vertical="bottom"/>
    </xf>
    <xf borderId="0" fillId="2" fontId="2" numFmtId="164" xfId="0" applyAlignment="1" applyFont="1" applyNumberFormat="1">
      <alignment horizontal="left" readingOrder="0"/>
    </xf>
    <xf borderId="0" fillId="2" fontId="2" numFmtId="0" xfId="0" applyAlignment="1" applyFont="1">
      <alignment horizontal="left" readingOrder="0"/>
    </xf>
    <xf borderId="0" fillId="2" fontId="0" numFmtId="4" xfId="0" applyAlignment="1" applyFont="1" applyNumberFormat="1">
      <alignment horizontal="left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  <col customWidth="1" min="2" max="2" width="12.63"/>
    <col customWidth="1" min="3" max="3" width="13.38"/>
    <col customWidth="1" min="4" max="4" width="20.13"/>
    <col customWidth="1" min="5" max="5" width="14.0"/>
    <col customWidth="1" min="6" max="6" width="16.63"/>
    <col customWidth="1" min="7" max="9" width="18.38"/>
    <col customWidth="1" min="10" max="10" width="19.38"/>
    <col customWidth="1" min="11" max="11" width="10.5"/>
    <col customWidth="1" min="12" max="12" width="10.0"/>
    <col customWidth="1" min="13" max="14" width="13.63"/>
    <col customWidth="1" min="15" max="15" width="19.38"/>
    <col customWidth="1" min="16" max="16" width="34.63"/>
    <col customWidth="1" min="17" max="17" width="19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4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6" t="s">
        <v>17</v>
      </c>
      <c r="B2" s="7">
        <v>45720.0</v>
      </c>
      <c r="C2" s="6" t="s">
        <v>18</v>
      </c>
      <c r="D2" s="6" t="s">
        <v>19</v>
      </c>
      <c r="E2" s="6" t="s">
        <v>20</v>
      </c>
      <c r="F2" s="6">
        <v>22.0</v>
      </c>
      <c r="G2" s="6">
        <v>36.0</v>
      </c>
      <c r="H2" s="6"/>
      <c r="I2" s="6"/>
      <c r="J2" s="8">
        <v>36.0</v>
      </c>
      <c r="K2" s="6">
        <v>36.0</v>
      </c>
      <c r="L2" s="6" t="s">
        <v>21</v>
      </c>
      <c r="M2" s="6">
        <f t="shared" ref="M2:M138" si="1">average(K2:L2)</f>
        <v>36</v>
      </c>
      <c r="N2" s="9" t="str">
        <f t="shared" ref="N2:N138" si="2">abs(K2-L2)</f>
        <v>#VALUE!</v>
      </c>
      <c r="O2" s="6">
        <v>0.0</v>
      </c>
      <c r="P2" s="6"/>
      <c r="Q2" s="6" t="s">
        <v>22</v>
      </c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8" t="s">
        <v>23</v>
      </c>
      <c r="B3" s="11">
        <v>45720.0</v>
      </c>
      <c r="C3" s="8" t="s">
        <v>24</v>
      </c>
      <c r="D3" s="8" t="s">
        <v>25</v>
      </c>
      <c r="E3" s="8" t="s">
        <v>20</v>
      </c>
      <c r="F3" s="8">
        <v>22.0</v>
      </c>
      <c r="G3" s="8">
        <v>36.0</v>
      </c>
      <c r="H3" s="8"/>
      <c r="I3" s="8" t="s">
        <v>26</v>
      </c>
      <c r="J3" s="8">
        <v>36.0</v>
      </c>
      <c r="K3" s="8">
        <v>36.0</v>
      </c>
      <c r="L3" s="8" t="s">
        <v>21</v>
      </c>
      <c r="M3" s="6">
        <f t="shared" si="1"/>
        <v>36</v>
      </c>
      <c r="N3" s="9" t="str">
        <f t="shared" si="2"/>
        <v>#VALUE!</v>
      </c>
      <c r="O3" s="12">
        <v>0.26875</v>
      </c>
      <c r="P3" s="8" t="s">
        <v>27</v>
      </c>
      <c r="Q3" s="8" t="s">
        <v>28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6" t="s">
        <v>29</v>
      </c>
      <c r="B4" s="7">
        <v>45720.0</v>
      </c>
      <c r="C4" s="6" t="s">
        <v>18</v>
      </c>
      <c r="D4" s="6" t="s">
        <v>25</v>
      </c>
      <c r="E4" s="6" t="s">
        <v>30</v>
      </c>
      <c r="F4" s="6">
        <v>22.0</v>
      </c>
      <c r="G4" s="6">
        <v>14.0</v>
      </c>
      <c r="H4" s="6"/>
      <c r="I4" s="6"/>
      <c r="J4" s="8">
        <v>14.0</v>
      </c>
      <c r="K4" s="6">
        <v>14.0</v>
      </c>
      <c r="L4" s="6" t="s">
        <v>21</v>
      </c>
      <c r="M4" s="6">
        <f t="shared" si="1"/>
        <v>14</v>
      </c>
      <c r="N4" s="9" t="str">
        <f t="shared" si="2"/>
        <v>#VALUE!</v>
      </c>
      <c r="O4" s="6">
        <v>0.0</v>
      </c>
      <c r="P4" s="6"/>
      <c r="Q4" s="6" t="s">
        <v>22</v>
      </c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6" t="s">
        <v>31</v>
      </c>
      <c r="B5" s="7">
        <v>45720.0</v>
      </c>
      <c r="C5" s="6" t="s">
        <v>18</v>
      </c>
      <c r="D5" s="6" t="s">
        <v>25</v>
      </c>
      <c r="E5" s="6" t="s">
        <v>30</v>
      </c>
      <c r="F5" s="6">
        <v>22.0</v>
      </c>
      <c r="G5" s="6">
        <v>14.0</v>
      </c>
      <c r="H5" s="6"/>
      <c r="I5" s="6"/>
      <c r="J5" s="8">
        <v>14.0</v>
      </c>
      <c r="K5" s="6">
        <v>14.0</v>
      </c>
      <c r="L5" s="6" t="s">
        <v>21</v>
      </c>
      <c r="M5" s="6">
        <f t="shared" si="1"/>
        <v>14</v>
      </c>
      <c r="N5" s="9" t="str">
        <f t="shared" si="2"/>
        <v>#VALUE!</v>
      </c>
      <c r="O5" s="6">
        <v>0.0</v>
      </c>
      <c r="P5" s="6"/>
      <c r="Q5" s="6" t="s">
        <v>22</v>
      </c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8" t="s">
        <v>32</v>
      </c>
      <c r="B6" s="11">
        <v>45720.0</v>
      </c>
      <c r="C6" s="8" t="s">
        <v>24</v>
      </c>
      <c r="D6" s="8" t="s">
        <v>25</v>
      </c>
      <c r="E6" s="8" t="s">
        <v>30</v>
      </c>
      <c r="F6" s="8">
        <v>22.0</v>
      </c>
      <c r="G6" s="8">
        <v>14.0</v>
      </c>
      <c r="H6" s="8"/>
      <c r="I6" s="8" t="s">
        <v>26</v>
      </c>
      <c r="J6" s="8">
        <v>14.0</v>
      </c>
      <c r="K6" s="8">
        <v>14.0</v>
      </c>
      <c r="L6" s="8" t="s">
        <v>21</v>
      </c>
      <c r="M6" s="6">
        <f t="shared" si="1"/>
        <v>14</v>
      </c>
      <c r="N6" s="9" t="str">
        <f t="shared" si="2"/>
        <v>#VALUE!</v>
      </c>
      <c r="O6" s="8">
        <v>0.0</v>
      </c>
      <c r="P6" s="8"/>
      <c r="Q6" s="8" t="s">
        <v>22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6" t="s">
        <v>33</v>
      </c>
      <c r="B7" s="7">
        <v>45723.0</v>
      </c>
      <c r="C7" s="6" t="s">
        <v>18</v>
      </c>
      <c r="D7" s="6" t="s">
        <v>25</v>
      </c>
      <c r="E7" s="6" t="s">
        <v>30</v>
      </c>
      <c r="F7" s="6">
        <v>22.0</v>
      </c>
      <c r="G7" s="14">
        <v>32.0</v>
      </c>
      <c r="H7" s="6"/>
      <c r="I7" s="6"/>
      <c r="J7" s="6"/>
      <c r="K7" s="6">
        <v>32.0</v>
      </c>
      <c r="L7" s="6">
        <v>48.0</v>
      </c>
      <c r="M7" s="6">
        <f t="shared" si="1"/>
        <v>40</v>
      </c>
      <c r="N7" s="15">
        <f t="shared" si="2"/>
        <v>16</v>
      </c>
      <c r="O7" s="6">
        <v>0.0</v>
      </c>
      <c r="P7" s="6"/>
      <c r="Q7" s="6" t="s">
        <v>34</v>
      </c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8" t="s">
        <v>35</v>
      </c>
      <c r="B8" s="11">
        <v>45723.0</v>
      </c>
      <c r="C8" s="8" t="s">
        <v>24</v>
      </c>
      <c r="D8" s="8" t="s">
        <v>25</v>
      </c>
      <c r="E8" s="8" t="s">
        <v>30</v>
      </c>
      <c r="F8" s="8">
        <v>22.0</v>
      </c>
      <c r="G8" s="14">
        <v>32.0</v>
      </c>
      <c r="H8" s="8"/>
      <c r="I8" s="8">
        <v>7.0</v>
      </c>
      <c r="J8" s="14" t="s">
        <v>36</v>
      </c>
      <c r="K8" s="8">
        <v>32.0</v>
      </c>
      <c r="L8" s="8">
        <v>48.0</v>
      </c>
      <c r="M8" s="6">
        <f t="shared" si="1"/>
        <v>40</v>
      </c>
      <c r="N8" s="15">
        <f t="shared" si="2"/>
        <v>16</v>
      </c>
      <c r="O8" s="8">
        <v>0.0</v>
      </c>
      <c r="P8" s="8" t="s">
        <v>37</v>
      </c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6" t="s">
        <v>38</v>
      </c>
      <c r="B9" s="7">
        <v>45723.0</v>
      </c>
      <c r="C9" s="6" t="s">
        <v>18</v>
      </c>
      <c r="D9" s="6" t="s">
        <v>25</v>
      </c>
      <c r="E9" s="6" t="s">
        <v>30</v>
      </c>
      <c r="F9" s="6">
        <v>22.0</v>
      </c>
      <c r="G9" s="14">
        <v>32.0</v>
      </c>
      <c r="H9" s="6"/>
      <c r="I9" s="6"/>
      <c r="J9" s="6"/>
      <c r="K9" s="6">
        <v>32.0</v>
      </c>
      <c r="L9" s="6">
        <v>48.0</v>
      </c>
      <c r="M9" s="6">
        <f t="shared" si="1"/>
        <v>40</v>
      </c>
      <c r="N9" s="15">
        <f t="shared" si="2"/>
        <v>16</v>
      </c>
      <c r="O9" s="6">
        <v>0.0</v>
      </c>
      <c r="P9" s="6"/>
      <c r="Q9" s="6" t="s">
        <v>34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8" t="s">
        <v>39</v>
      </c>
      <c r="B10" s="11">
        <v>45741.0</v>
      </c>
      <c r="C10" s="8" t="s">
        <v>24</v>
      </c>
      <c r="D10" s="8" t="s">
        <v>25</v>
      </c>
      <c r="E10" s="8" t="s">
        <v>20</v>
      </c>
      <c r="F10" s="8">
        <v>19.0</v>
      </c>
      <c r="G10" s="14">
        <v>27.0</v>
      </c>
      <c r="H10" s="8" t="s">
        <v>40</v>
      </c>
      <c r="I10" s="8">
        <v>4.0</v>
      </c>
      <c r="J10" s="14" t="s">
        <v>36</v>
      </c>
      <c r="K10" s="8">
        <v>27.0</v>
      </c>
      <c r="L10" s="8">
        <v>41.0</v>
      </c>
      <c r="M10" s="6">
        <f t="shared" si="1"/>
        <v>34</v>
      </c>
      <c r="N10" s="15">
        <f t="shared" si="2"/>
        <v>14</v>
      </c>
      <c r="O10" s="8">
        <v>0.0</v>
      </c>
      <c r="P10" s="8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8" t="s">
        <v>41</v>
      </c>
      <c r="B11" s="11">
        <v>45741.0</v>
      </c>
      <c r="C11" s="8" t="s">
        <v>24</v>
      </c>
      <c r="D11" s="8" t="s">
        <v>25</v>
      </c>
      <c r="E11" s="8" t="s">
        <v>20</v>
      </c>
      <c r="F11" s="8">
        <v>19.0</v>
      </c>
      <c r="G11" s="14">
        <v>23.0</v>
      </c>
      <c r="H11" s="8" t="s">
        <v>40</v>
      </c>
      <c r="I11" s="8">
        <v>4.0</v>
      </c>
      <c r="J11" s="14" t="s">
        <v>36</v>
      </c>
      <c r="K11" s="8">
        <v>23.0</v>
      </c>
      <c r="L11" s="8">
        <v>36.0</v>
      </c>
      <c r="M11" s="6">
        <f t="shared" si="1"/>
        <v>29.5</v>
      </c>
      <c r="N11" s="15">
        <f t="shared" si="2"/>
        <v>13</v>
      </c>
      <c r="O11" s="8">
        <v>0.0</v>
      </c>
      <c r="P11" s="8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8" t="s">
        <v>42</v>
      </c>
      <c r="B12" s="11">
        <v>45741.0</v>
      </c>
      <c r="C12" s="8" t="s">
        <v>24</v>
      </c>
      <c r="D12" s="8" t="s">
        <v>25</v>
      </c>
      <c r="E12" s="8" t="s">
        <v>20</v>
      </c>
      <c r="F12" s="8">
        <v>19.0</v>
      </c>
      <c r="G12" s="8">
        <v>16.0</v>
      </c>
      <c r="H12" s="8" t="s">
        <v>40</v>
      </c>
      <c r="I12" s="8" t="s">
        <v>26</v>
      </c>
      <c r="J12" s="8">
        <v>16.0</v>
      </c>
      <c r="K12" s="8">
        <v>16.0</v>
      </c>
      <c r="L12" s="8" t="s">
        <v>21</v>
      </c>
      <c r="M12" s="6">
        <f t="shared" si="1"/>
        <v>16</v>
      </c>
      <c r="N12" s="9" t="str">
        <f t="shared" si="2"/>
        <v>#VALUE!</v>
      </c>
      <c r="O12" s="8">
        <v>0.0</v>
      </c>
      <c r="P12" s="8"/>
      <c r="Q12" s="8" t="s">
        <v>43</v>
      </c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6" t="s">
        <v>44</v>
      </c>
      <c r="B13" s="7">
        <v>45741.0</v>
      </c>
      <c r="C13" s="6" t="s">
        <v>18</v>
      </c>
      <c r="D13" s="6" t="s">
        <v>25</v>
      </c>
      <c r="E13" s="6" t="s">
        <v>20</v>
      </c>
      <c r="F13" s="6">
        <v>19.0</v>
      </c>
      <c r="G13" s="14">
        <v>23.0</v>
      </c>
      <c r="H13" s="6"/>
      <c r="I13" s="6"/>
      <c r="J13" s="6"/>
      <c r="K13" s="6">
        <v>23.0</v>
      </c>
      <c r="L13" s="6">
        <v>36.0</v>
      </c>
      <c r="M13" s="6">
        <f t="shared" si="1"/>
        <v>29.5</v>
      </c>
      <c r="N13" s="15">
        <f t="shared" si="2"/>
        <v>13</v>
      </c>
      <c r="O13" s="6">
        <v>0.0</v>
      </c>
      <c r="P13" s="6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6" t="s">
        <v>45</v>
      </c>
      <c r="B14" s="7">
        <v>45741.0</v>
      </c>
      <c r="C14" s="6" t="s">
        <v>18</v>
      </c>
      <c r="D14" s="6" t="s">
        <v>25</v>
      </c>
      <c r="E14" s="6" t="s">
        <v>20</v>
      </c>
      <c r="F14" s="6">
        <v>19.0</v>
      </c>
      <c r="G14" s="6">
        <v>16.0</v>
      </c>
      <c r="H14" s="6"/>
      <c r="I14" s="6"/>
      <c r="J14" s="8">
        <v>16.0</v>
      </c>
      <c r="K14" s="6">
        <v>16.0</v>
      </c>
      <c r="L14" s="6" t="s">
        <v>21</v>
      </c>
      <c r="M14" s="6">
        <f t="shared" si="1"/>
        <v>16</v>
      </c>
      <c r="N14" s="9" t="str">
        <f t="shared" si="2"/>
        <v>#VALUE!</v>
      </c>
      <c r="O14" s="6">
        <v>0.0</v>
      </c>
      <c r="P14" s="6"/>
      <c r="Q14" s="6" t="s">
        <v>43</v>
      </c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8" t="s">
        <v>46</v>
      </c>
      <c r="B15" s="11">
        <v>45744.0</v>
      </c>
      <c r="C15" s="8" t="s">
        <v>24</v>
      </c>
      <c r="D15" s="8" t="s">
        <v>25</v>
      </c>
      <c r="E15" s="8" t="s">
        <v>20</v>
      </c>
      <c r="F15" s="8">
        <v>22.0</v>
      </c>
      <c r="G15" s="14">
        <v>43.0</v>
      </c>
      <c r="H15" s="8"/>
      <c r="I15" s="8">
        <v>3.0</v>
      </c>
      <c r="J15" s="14" t="s">
        <v>36</v>
      </c>
      <c r="K15" s="8">
        <v>43.0</v>
      </c>
      <c r="L15" s="8">
        <v>3.0</v>
      </c>
      <c r="M15" s="6">
        <f t="shared" si="1"/>
        <v>23</v>
      </c>
      <c r="N15" s="15">
        <f t="shared" si="2"/>
        <v>40</v>
      </c>
      <c r="O15" s="8">
        <v>0.0</v>
      </c>
      <c r="P15" s="8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8" t="s">
        <v>47</v>
      </c>
      <c r="B16" s="11">
        <v>45744.0</v>
      </c>
      <c r="C16" s="8" t="s">
        <v>24</v>
      </c>
      <c r="D16" s="8" t="s">
        <v>25</v>
      </c>
      <c r="E16" s="8" t="s">
        <v>20</v>
      </c>
      <c r="F16" s="8">
        <v>22.0</v>
      </c>
      <c r="G16" s="14">
        <v>37.0</v>
      </c>
      <c r="H16" s="8"/>
      <c r="I16" s="8">
        <v>3.0</v>
      </c>
      <c r="J16" s="14" t="s">
        <v>36</v>
      </c>
      <c r="K16" s="8">
        <v>37.0</v>
      </c>
      <c r="L16" s="8">
        <v>20.0</v>
      </c>
      <c r="M16" s="6">
        <f t="shared" si="1"/>
        <v>28.5</v>
      </c>
      <c r="N16" s="15">
        <f t="shared" si="2"/>
        <v>17</v>
      </c>
      <c r="O16" s="8">
        <v>0.0</v>
      </c>
      <c r="P16" s="8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8" t="s">
        <v>48</v>
      </c>
      <c r="B17" s="11">
        <v>45744.0</v>
      </c>
      <c r="C17" s="8" t="s">
        <v>24</v>
      </c>
      <c r="D17" s="8" t="s">
        <v>25</v>
      </c>
      <c r="E17" s="8" t="s">
        <v>20</v>
      </c>
      <c r="F17" s="8">
        <v>22.0</v>
      </c>
      <c r="G17" s="8">
        <v>45.5</v>
      </c>
      <c r="H17" s="8"/>
      <c r="I17" s="8">
        <v>6.0</v>
      </c>
      <c r="J17" s="8">
        <v>45.5</v>
      </c>
      <c r="K17" s="8">
        <v>44.0</v>
      </c>
      <c r="L17" s="8">
        <v>47.0</v>
      </c>
      <c r="M17" s="6">
        <f t="shared" si="1"/>
        <v>45.5</v>
      </c>
      <c r="N17" s="9">
        <f t="shared" si="2"/>
        <v>3</v>
      </c>
      <c r="O17" s="8">
        <v>0.0</v>
      </c>
      <c r="P17" s="8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8" t="s">
        <v>49</v>
      </c>
      <c r="B18" s="11">
        <v>45744.0</v>
      </c>
      <c r="C18" s="8" t="s">
        <v>24</v>
      </c>
      <c r="D18" s="8" t="s">
        <v>25</v>
      </c>
      <c r="E18" s="8" t="s">
        <v>30</v>
      </c>
      <c r="F18" s="8">
        <v>22.0</v>
      </c>
      <c r="G18" s="8">
        <v>6.5</v>
      </c>
      <c r="H18" s="8"/>
      <c r="I18" s="8">
        <v>3.0</v>
      </c>
      <c r="J18" s="8">
        <v>6.5</v>
      </c>
      <c r="K18" s="8">
        <v>5.0</v>
      </c>
      <c r="L18" s="8">
        <v>8.0</v>
      </c>
      <c r="M18" s="6">
        <f t="shared" si="1"/>
        <v>6.5</v>
      </c>
      <c r="N18" s="9">
        <f t="shared" si="2"/>
        <v>3</v>
      </c>
      <c r="O18" s="8">
        <v>0.0</v>
      </c>
      <c r="P18" s="8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6" t="s">
        <v>50</v>
      </c>
      <c r="B19" s="7">
        <v>45744.0</v>
      </c>
      <c r="C19" s="6" t="s">
        <v>18</v>
      </c>
      <c r="D19" s="6" t="s">
        <v>25</v>
      </c>
      <c r="E19" s="6" t="s">
        <v>20</v>
      </c>
      <c r="F19" s="6">
        <v>22.0</v>
      </c>
      <c r="G19" s="6">
        <v>6.5</v>
      </c>
      <c r="H19" s="6"/>
      <c r="I19" s="6"/>
      <c r="J19" s="8">
        <v>6.5</v>
      </c>
      <c r="K19" s="6">
        <v>5.0</v>
      </c>
      <c r="L19" s="6">
        <v>8.0</v>
      </c>
      <c r="M19" s="6">
        <f t="shared" si="1"/>
        <v>6.5</v>
      </c>
      <c r="N19" s="9">
        <f t="shared" si="2"/>
        <v>3</v>
      </c>
      <c r="O19" s="6">
        <v>0.0</v>
      </c>
      <c r="P19" s="6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6" t="s">
        <v>51</v>
      </c>
      <c r="B20" s="7">
        <v>45744.0</v>
      </c>
      <c r="C20" s="6" t="s">
        <v>18</v>
      </c>
      <c r="D20" s="6" t="s">
        <v>25</v>
      </c>
      <c r="E20" s="6" t="s">
        <v>20</v>
      </c>
      <c r="F20" s="6">
        <v>22.0</v>
      </c>
      <c r="G20" s="6">
        <v>45.5</v>
      </c>
      <c r="H20" s="6"/>
      <c r="I20" s="6"/>
      <c r="J20" s="8">
        <v>45.5</v>
      </c>
      <c r="K20" s="6">
        <v>44.0</v>
      </c>
      <c r="L20" s="6">
        <v>47.0</v>
      </c>
      <c r="M20" s="6">
        <f t="shared" si="1"/>
        <v>45.5</v>
      </c>
      <c r="N20" s="9">
        <f t="shared" si="2"/>
        <v>3</v>
      </c>
      <c r="O20" s="6">
        <v>0.0</v>
      </c>
      <c r="P20" s="6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6" t="s">
        <v>52</v>
      </c>
      <c r="B21" s="7">
        <v>45744.0</v>
      </c>
      <c r="C21" s="6" t="s">
        <v>18</v>
      </c>
      <c r="D21" s="6" t="s">
        <v>25</v>
      </c>
      <c r="E21" s="6" t="s">
        <v>30</v>
      </c>
      <c r="F21" s="6">
        <v>22.0</v>
      </c>
      <c r="G21" s="14">
        <v>8.0</v>
      </c>
      <c r="H21" s="6"/>
      <c r="I21" s="6"/>
      <c r="J21" s="6"/>
      <c r="K21" s="6">
        <v>8.0</v>
      </c>
      <c r="L21" s="6">
        <v>31.0</v>
      </c>
      <c r="M21" s="6">
        <f t="shared" si="1"/>
        <v>19.5</v>
      </c>
      <c r="N21" s="15">
        <f t="shared" si="2"/>
        <v>23</v>
      </c>
      <c r="O21" s="6">
        <v>0.0</v>
      </c>
      <c r="P21" s="6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>
      <c r="A22" s="8" t="s">
        <v>53</v>
      </c>
      <c r="B22" s="11">
        <v>45744.0</v>
      </c>
      <c r="C22" s="8" t="s">
        <v>24</v>
      </c>
      <c r="D22" s="8" t="s">
        <v>25</v>
      </c>
      <c r="E22" s="8" t="s">
        <v>30</v>
      </c>
      <c r="F22" s="8">
        <v>22.0</v>
      </c>
      <c r="G22" s="14">
        <v>8.0</v>
      </c>
      <c r="H22" s="8"/>
      <c r="I22" s="8">
        <v>3.0</v>
      </c>
      <c r="J22" s="14" t="s">
        <v>36</v>
      </c>
      <c r="K22" s="8">
        <v>8.0</v>
      </c>
      <c r="L22" s="8">
        <v>31.0</v>
      </c>
      <c r="M22" s="6">
        <f t="shared" si="1"/>
        <v>19.5</v>
      </c>
      <c r="N22" s="15">
        <f t="shared" si="2"/>
        <v>23</v>
      </c>
      <c r="O22" s="8">
        <v>0.0</v>
      </c>
      <c r="P22" s="8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>
      <c r="A23" s="6" t="s">
        <v>54</v>
      </c>
      <c r="B23" s="7">
        <v>45767.0</v>
      </c>
      <c r="C23" s="6" t="s">
        <v>18</v>
      </c>
      <c r="D23" s="6" t="s">
        <v>25</v>
      </c>
      <c r="E23" s="6" t="s">
        <v>20</v>
      </c>
      <c r="F23" s="6">
        <v>19.0</v>
      </c>
      <c r="G23" s="6">
        <v>21.5</v>
      </c>
      <c r="H23" s="6"/>
      <c r="I23" s="6"/>
      <c r="J23" s="8">
        <v>21.5</v>
      </c>
      <c r="K23" s="6">
        <v>22.0</v>
      </c>
      <c r="L23" s="6">
        <v>21.0</v>
      </c>
      <c r="M23" s="6">
        <f t="shared" si="1"/>
        <v>21.5</v>
      </c>
      <c r="N23" s="9">
        <f t="shared" si="2"/>
        <v>1</v>
      </c>
      <c r="O23" s="6">
        <v>0.0</v>
      </c>
      <c r="P23" s="6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>
      <c r="A24" s="6" t="s">
        <v>55</v>
      </c>
      <c r="B24" s="7">
        <v>45767.0</v>
      </c>
      <c r="C24" s="6" t="s">
        <v>18</v>
      </c>
      <c r="D24" s="6" t="s">
        <v>25</v>
      </c>
      <c r="E24" s="6" t="s">
        <v>20</v>
      </c>
      <c r="F24" s="6">
        <v>19.0</v>
      </c>
      <c r="G24" s="6">
        <v>12.0</v>
      </c>
      <c r="H24" s="6"/>
      <c r="I24" s="6"/>
      <c r="J24" s="8">
        <v>12.0</v>
      </c>
      <c r="K24" s="6">
        <v>12.0</v>
      </c>
      <c r="L24" s="6">
        <v>12.0</v>
      </c>
      <c r="M24" s="6">
        <f t="shared" si="1"/>
        <v>12</v>
      </c>
      <c r="N24" s="9">
        <f t="shared" si="2"/>
        <v>0</v>
      </c>
      <c r="O24" s="6">
        <v>0.0</v>
      </c>
      <c r="P24" s="6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>
      <c r="A25" s="8" t="s">
        <v>56</v>
      </c>
      <c r="B25" s="11">
        <v>45767.0</v>
      </c>
      <c r="C25" s="8" t="s">
        <v>24</v>
      </c>
      <c r="D25" s="8" t="s">
        <v>25</v>
      </c>
      <c r="E25" s="8" t="s">
        <v>20</v>
      </c>
      <c r="F25" s="8">
        <v>19.0</v>
      </c>
      <c r="G25" s="8">
        <v>22.5</v>
      </c>
      <c r="H25" s="8" t="s">
        <v>40</v>
      </c>
      <c r="I25" s="8">
        <v>4.0</v>
      </c>
      <c r="J25" s="8">
        <v>22.5</v>
      </c>
      <c r="K25" s="8">
        <v>23.0</v>
      </c>
      <c r="L25" s="8">
        <v>22.0</v>
      </c>
      <c r="M25" s="6">
        <f t="shared" si="1"/>
        <v>22.5</v>
      </c>
      <c r="N25" s="9">
        <f t="shared" si="2"/>
        <v>1</v>
      </c>
      <c r="O25" s="8">
        <v>0.0</v>
      </c>
      <c r="P25" s="8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>
      <c r="A26" s="8" t="s">
        <v>57</v>
      </c>
      <c r="B26" s="11">
        <v>45767.0</v>
      </c>
      <c r="C26" s="8" t="s">
        <v>24</v>
      </c>
      <c r="D26" s="8" t="s">
        <v>25</v>
      </c>
      <c r="E26" s="8" t="s">
        <v>20</v>
      </c>
      <c r="F26" s="8">
        <v>19.0</v>
      </c>
      <c r="G26" s="8">
        <v>21.5</v>
      </c>
      <c r="H26" s="8" t="s">
        <v>40</v>
      </c>
      <c r="I26" s="8">
        <v>4.0</v>
      </c>
      <c r="J26" s="8">
        <v>21.5</v>
      </c>
      <c r="K26" s="8">
        <v>22.0</v>
      </c>
      <c r="L26" s="8">
        <v>21.0</v>
      </c>
      <c r="M26" s="6">
        <f t="shared" si="1"/>
        <v>21.5</v>
      </c>
      <c r="N26" s="9">
        <f t="shared" si="2"/>
        <v>1</v>
      </c>
      <c r="O26" s="8">
        <v>0.0</v>
      </c>
      <c r="P26" s="8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>
      <c r="A27" s="8" t="s">
        <v>58</v>
      </c>
      <c r="B27" s="11">
        <v>45767.0</v>
      </c>
      <c r="C27" s="8" t="s">
        <v>24</v>
      </c>
      <c r="D27" s="8" t="s">
        <v>25</v>
      </c>
      <c r="E27" s="8" t="s">
        <v>20</v>
      </c>
      <c r="F27" s="8">
        <v>19.0</v>
      </c>
      <c r="G27" s="8">
        <v>12.0</v>
      </c>
      <c r="H27" s="8" t="s">
        <v>40</v>
      </c>
      <c r="I27" s="8">
        <v>4.0</v>
      </c>
      <c r="J27" s="8">
        <v>12.0</v>
      </c>
      <c r="K27" s="8">
        <v>12.0</v>
      </c>
      <c r="L27" s="8">
        <v>12.0</v>
      </c>
      <c r="M27" s="6">
        <f t="shared" si="1"/>
        <v>12</v>
      </c>
      <c r="N27" s="9">
        <f t="shared" si="2"/>
        <v>0</v>
      </c>
      <c r="O27" s="8">
        <v>0.0</v>
      </c>
      <c r="P27" s="8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>
      <c r="A28" s="8" t="s">
        <v>59</v>
      </c>
      <c r="B28" s="11">
        <v>45767.0</v>
      </c>
      <c r="C28" s="8" t="s">
        <v>24</v>
      </c>
      <c r="D28" s="8" t="s">
        <v>25</v>
      </c>
      <c r="E28" s="8" t="s">
        <v>20</v>
      </c>
      <c r="F28" s="8">
        <v>19.0</v>
      </c>
      <c r="G28" s="8">
        <v>33.5</v>
      </c>
      <c r="H28" s="8" t="s">
        <v>60</v>
      </c>
      <c r="I28" s="8">
        <v>4.0</v>
      </c>
      <c r="J28" s="8">
        <v>33.5</v>
      </c>
      <c r="K28" s="8">
        <v>33.0</v>
      </c>
      <c r="L28" s="8">
        <v>34.0</v>
      </c>
      <c r="M28" s="6">
        <f t="shared" si="1"/>
        <v>33.5</v>
      </c>
      <c r="N28" s="9">
        <f t="shared" si="2"/>
        <v>1</v>
      </c>
      <c r="O28" s="8">
        <v>0.0</v>
      </c>
      <c r="P28" s="8" t="s">
        <v>61</v>
      </c>
      <c r="Q28" s="8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>
      <c r="A29" s="6" t="s">
        <v>62</v>
      </c>
      <c r="B29" s="7">
        <v>45770.0</v>
      </c>
      <c r="C29" s="6" t="s">
        <v>18</v>
      </c>
      <c r="D29" s="6" t="s">
        <v>25</v>
      </c>
      <c r="E29" s="6" t="s">
        <v>20</v>
      </c>
      <c r="F29" s="6">
        <v>22.0</v>
      </c>
      <c r="G29" s="14">
        <v>34.0</v>
      </c>
      <c r="H29" s="6"/>
      <c r="I29" s="6"/>
      <c r="J29" s="6"/>
      <c r="K29" s="6">
        <v>34.0</v>
      </c>
      <c r="L29" s="6">
        <v>51.0</v>
      </c>
      <c r="M29" s="6">
        <f t="shared" si="1"/>
        <v>42.5</v>
      </c>
      <c r="N29" s="15">
        <f t="shared" si="2"/>
        <v>17</v>
      </c>
      <c r="O29" s="6">
        <v>0.0</v>
      </c>
      <c r="P29" s="6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>
      <c r="A30" s="6" t="s">
        <v>63</v>
      </c>
      <c r="B30" s="7">
        <v>45770.0</v>
      </c>
      <c r="C30" s="6" t="s">
        <v>18</v>
      </c>
      <c r="D30" s="6" t="s">
        <v>25</v>
      </c>
      <c r="E30" s="6" t="s">
        <v>20</v>
      </c>
      <c r="F30" s="6">
        <v>22.0</v>
      </c>
      <c r="G30" s="14">
        <v>31.0</v>
      </c>
      <c r="H30" s="6"/>
      <c r="I30" s="6"/>
      <c r="J30" s="6"/>
      <c r="K30" s="6">
        <v>31.0</v>
      </c>
      <c r="L30" s="6">
        <v>50.0</v>
      </c>
      <c r="M30" s="6">
        <f t="shared" si="1"/>
        <v>40.5</v>
      </c>
      <c r="N30" s="15">
        <f t="shared" si="2"/>
        <v>19</v>
      </c>
      <c r="O30" s="6">
        <v>0.0</v>
      </c>
      <c r="P30" s="6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>
      <c r="A31" s="8" t="s">
        <v>64</v>
      </c>
      <c r="B31" s="11">
        <v>45770.0</v>
      </c>
      <c r="C31" s="8" t="s">
        <v>24</v>
      </c>
      <c r="D31" s="8" t="s">
        <v>25</v>
      </c>
      <c r="E31" s="8" t="s">
        <v>20</v>
      </c>
      <c r="F31" s="8">
        <v>22.0</v>
      </c>
      <c r="G31" s="8">
        <v>22.5</v>
      </c>
      <c r="H31" s="8"/>
      <c r="I31" s="8">
        <v>6.0</v>
      </c>
      <c r="J31" s="8">
        <v>22.5</v>
      </c>
      <c r="K31" s="8">
        <v>21.0</v>
      </c>
      <c r="L31" s="8">
        <v>24.0</v>
      </c>
      <c r="M31" s="6">
        <f t="shared" si="1"/>
        <v>22.5</v>
      </c>
      <c r="N31" s="9">
        <f t="shared" si="2"/>
        <v>3</v>
      </c>
      <c r="O31" s="8">
        <v>0.0</v>
      </c>
      <c r="P31" s="8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>
      <c r="A32" s="8" t="s">
        <v>65</v>
      </c>
      <c r="B32" s="11">
        <v>45770.0</v>
      </c>
      <c r="C32" s="8" t="s">
        <v>24</v>
      </c>
      <c r="D32" s="8" t="s">
        <v>25</v>
      </c>
      <c r="E32" s="8" t="s">
        <v>20</v>
      </c>
      <c r="F32" s="8">
        <v>22.0</v>
      </c>
      <c r="G32" s="14">
        <v>34.0</v>
      </c>
      <c r="H32" s="8"/>
      <c r="I32" s="8">
        <v>6.0</v>
      </c>
      <c r="J32" s="14" t="s">
        <v>36</v>
      </c>
      <c r="K32" s="8">
        <v>34.0</v>
      </c>
      <c r="L32" s="8">
        <v>51.0</v>
      </c>
      <c r="M32" s="6">
        <f t="shared" si="1"/>
        <v>42.5</v>
      </c>
      <c r="N32" s="15">
        <f t="shared" si="2"/>
        <v>17</v>
      </c>
      <c r="O32" s="8">
        <v>0.0</v>
      </c>
      <c r="P32" s="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>
      <c r="A33" s="8" t="s">
        <v>66</v>
      </c>
      <c r="B33" s="11">
        <v>45770.0</v>
      </c>
      <c r="C33" s="8" t="s">
        <v>24</v>
      </c>
      <c r="D33" s="8" t="s">
        <v>25</v>
      </c>
      <c r="E33" s="8" t="s">
        <v>20</v>
      </c>
      <c r="F33" s="8">
        <v>22.0</v>
      </c>
      <c r="G33" s="14">
        <v>31.0</v>
      </c>
      <c r="H33" s="8"/>
      <c r="I33" s="8">
        <v>6.0</v>
      </c>
      <c r="J33" s="14" t="s">
        <v>36</v>
      </c>
      <c r="K33" s="8">
        <v>31.0</v>
      </c>
      <c r="L33" s="8">
        <v>50.0</v>
      </c>
      <c r="M33" s="6">
        <f t="shared" si="1"/>
        <v>40.5</v>
      </c>
      <c r="N33" s="15">
        <f t="shared" si="2"/>
        <v>19</v>
      </c>
      <c r="O33" s="8">
        <v>0.0</v>
      </c>
      <c r="P33" s="8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>
      <c r="A34" s="6" t="s">
        <v>67</v>
      </c>
      <c r="B34" s="7">
        <v>45770.0</v>
      </c>
      <c r="C34" s="6" t="s">
        <v>18</v>
      </c>
      <c r="D34" s="6" t="s">
        <v>25</v>
      </c>
      <c r="E34" s="6" t="s">
        <v>30</v>
      </c>
      <c r="F34" s="6">
        <v>22.0</v>
      </c>
      <c r="G34" s="6">
        <v>18.5</v>
      </c>
      <c r="H34" s="6"/>
      <c r="I34" s="6"/>
      <c r="J34" s="8">
        <v>18.5</v>
      </c>
      <c r="K34" s="6">
        <v>17.0</v>
      </c>
      <c r="L34" s="6">
        <v>20.0</v>
      </c>
      <c r="M34" s="6">
        <f t="shared" si="1"/>
        <v>18.5</v>
      </c>
      <c r="N34" s="9">
        <f t="shared" si="2"/>
        <v>3</v>
      </c>
      <c r="O34" s="6">
        <v>0.0</v>
      </c>
      <c r="P34" s="6"/>
      <c r="Q34" s="6" t="s">
        <v>68</v>
      </c>
      <c r="R34" s="6" t="s">
        <v>69</v>
      </c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8" t="s">
        <v>70</v>
      </c>
      <c r="B35" s="11">
        <v>45770.0</v>
      </c>
      <c r="C35" s="8" t="s">
        <v>24</v>
      </c>
      <c r="D35" s="8" t="s">
        <v>25</v>
      </c>
      <c r="E35" s="8" t="s">
        <v>20</v>
      </c>
      <c r="F35" s="8">
        <v>22.0</v>
      </c>
      <c r="G35" s="8" t="s">
        <v>71</v>
      </c>
      <c r="H35" s="8"/>
      <c r="I35" s="8">
        <v>6.0</v>
      </c>
      <c r="J35" s="8" t="s">
        <v>71</v>
      </c>
      <c r="K35" s="8" t="s">
        <v>71</v>
      </c>
      <c r="L35" s="8" t="s">
        <v>71</v>
      </c>
      <c r="M35" s="6" t="str">
        <f t="shared" si="1"/>
        <v>#DIV/0!</v>
      </c>
      <c r="N35" s="9" t="str">
        <f t="shared" si="2"/>
        <v>#VALUE!</v>
      </c>
      <c r="O35" s="12">
        <v>0.4201388888888889</v>
      </c>
      <c r="P35" s="8" t="s">
        <v>72</v>
      </c>
      <c r="Q35" s="8" t="s">
        <v>73</v>
      </c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>
      <c r="A36" s="8" t="s">
        <v>74</v>
      </c>
      <c r="B36" s="11">
        <v>45770.0</v>
      </c>
      <c r="C36" s="8" t="s">
        <v>75</v>
      </c>
      <c r="D36" s="8" t="s">
        <v>25</v>
      </c>
      <c r="E36" s="8" t="s">
        <v>30</v>
      </c>
      <c r="F36" s="8">
        <v>22.0</v>
      </c>
      <c r="G36" s="8">
        <v>18.5</v>
      </c>
      <c r="H36" s="8"/>
      <c r="I36" s="8">
        <v>3.0</v>
      </c>
      <c r="J36" s="8">
        <v>18.5</v>
      </c>
      <c r="K36" s="8">
        <v>17.0</v>
      </c>
      <c r="L36" s="8">
        <v>20.0</v>
      </c>
      <c r="M36" s="6">
        <f t="shared" si="1"/>
        <v>18.5</v>
      </c>
      <c r="N36" s="9">
        <f t="shared" si="2"/>
        <v>3</v>
      </c>
      <c r="O36" s="8">
        <v>0.0</v>
      </c>
      <c r="P36" s="8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>
      <c r="A37" s="8" t="s">
        <v>76</v>
      </c>
      <c r="B37" s="11">
        <v>45770.0</v>
      </c>
      <c r="C37" s="8" t="s">
        <v>24</v>
      </c>
      <c r="D37" s="8" t="s">
        <v>25</v>
      </c>
      <c r="E37" s="8" t="s">
        <v>30</v>
      </c>
      <c r="F37" s="8">
        <v>22.0</v>
      </c>
      <c r="G37" s="8">
        <v>6.0</v>
      </c>
      <c r="H37" s="8"/>
      <c r="I37" s="8">
        <v>4.0</v>
      </c>
      <c r="J37" s="8">
        <v>6.0</v>
      </c>
      <c r="K37" s="8">
        <v>4.0</v>
      </c>
      <c r="L37" s="8">
        <v>8.0</v>
      </c>
      <c r="M37" s="6">
        <f t="shared" si="1"/>
        <v>6</v>
      </c>
      <c r="N37" s="9">
        <f t="shared" si="2"/>
        <v>4</v>
      </c>
      <c r="O37" s="8">
        <v>0.0</v>
      </c>
      <c r="P37" s="8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>
      <c r="A38" s="6" t="s">
        <v>77</v>
      </c>
      <c r="B38" s="11">
        <v>45954.0</v>
      </c>
      <c r="C38" s="8" t="s">
        <v>24</v>
      </c>
      <c r="D38" s="8" t="s">
        <v>25</v>
      </c>
      <c r="E38" s="8" t="s">
        <v>20</v>
      </c>
      <c r="F38" s="8">
        <v>19.0</v>
      </c>
      <c r="G38" s="8">
        <v>7.0</v>
      </c>
      <c r="H38" s="8" t="s">
        <v>60</v>
      </c>
      <c r="I38" s="8">
        <v>3.0</v>
      </c>
      <c r="J38" s="8">
        <v>7.0</v>
      </c>
      <c r="K38" s="8">
        <v>6.0</v>
      </c>
      <c r="L38" s="8">
        <v>8.0</v>
      </c>
      <c r="M38" s="6">
        <f t="shared" si="1"/>
        <v>7</v>
      </c>
      <c r="N38" s="9">
        <f t="shared" si="2"/>
        <v>2</v>
      </c>
      <c r="O38" s="8">
        <v>0.0</v>
      </c>
      <c r="P38" s="8" t="s">
        <v>78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>
      <c r="A39" s="8" t="s">
        <v>79</v>
      </c>
      <c r="B39" s="11">
        <v>45954.0</v>
      </c>
      <c r="C39" s="8" t="s">
        <v>24</v>
      </c>
      <c r="D39" s="8" t="s">
        <v>25</v>
      </c>
      <c r="E39" s="8" t="s">
        <v>20</v>
      </c>
      <c r="F39" s="8">
        <v>19.0</v>
      </c>
      <c r="G39" s="14">
        <v>7.0</v>
      </c>
      <c r="H39" s="8" t="s">
        <v>60</v>
      </c>
      <c r="I39" s="8">
        <v>4.0</v>
      </c>
      <c r="J39" s="14" t="s">
        <v>36</v>
      </c>
      <c r="K39" s="8">
        <v>7.0</v>
      </c>
      <c r="L39" s="8">
        <v>20.0</v>
      </c>
      <c r="M39" s="6">
        <f t="shared" si="1"/>
        <v>13.5</v>
      </c>
      <c r="N39" s="15">
        <f t="shared" si="2"/>
        <v>13</v>
      </c>
      <c r="O39" s="8">
        <v>0.0</v>
      </c>
      <c r="P39" s="8" t="s">
        <v>78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>
      <c r="A40" s="6" t="s">
        <v>80</v>
      </c>
      <c r="B40" s="7">
        <v>45954.0</v>
      </c>
      <c r="C40" s="6" t="s">
        <v>18</v>
      </c>
      <c r="D40" s="6" t="s">
        <v>25</v>
      </c>
      <c r="E40" s="6" t="s">
        <v>20</v>
      </c>
      <c r="F40" s="6">
        <v>19.0</v>
      </c>
      <c r="G40" s="14">
        <v>7.0</v>
      </c>
      <c r="H40" s="6"/>
      <c r="I40" s="6"/>
      <c r="J40" s="6"/>
      <c r="K40" s="6">
        <v>7.0</v>
      </c>
      <c r="L40" s="6">
        <v>20.0</v>
      </c>
      <c r="M40" s="6">
        <f t="shared" si="1"/>
        <v>13.5</v>
      </c>
      <c r="N40" s="15">
        <f t="shared" si="2"/>
        <v>13</v>
      </c>
      <c r="O40" s="6">
        <v>0.0</v>
      </c>
      <c r="P40" s="6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>
      <c r="A41" s="8" t="s">
        <v>81</v>
      </c>
      <c r="B41" s="11">
        <v>45954.0</v>
      </c>
      <c r="C41" s="8" t="s">
        <v>24</v>
      </c>
      <c r="D41" s="8" t="s">
        <v>25</v>
      </c>
      <c r="E41" s="8" t="s">
        <v>20</v>
      </c>
      <c r="F41" s="8">
        <v>19.0</v>
      </c>
      <c r="G41" s="14">
        <v>8.0</v>
      </c>
      <c r="H41" s="8" t="s">
        <v>60</v>
      </c>
      <c r="I41" s="8">
        <v>4.0</v>
      </c>
      <c r="J41" s="14" t="s">
        <v>36</v>
      </c>
      <c r="K41" s="8">
        <v>8.0</v>
      </c>
      <c r="L41" s="8">
        <v>20.0</v>
      </c>
      <c r="M41" s="6">
        <f t="shared" si="1"/>
        <v>14</v>
      </c>
      <c r="N41" s="15">
        <f t="shared" si="2"/>
        <v>12</v>
      </c>
      <c r="O41" s="8">
        <v>0.0</v>
      </c>
      <c r="P41" s="8" t="s">
        <v>78</v>
      </c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>
      <c r="A42" s="6" t="s">
        <v>82</v>
      </c>
      <c r="B42" s="7">
        <v>45954.0</v>
      </c>
      <c r="C42" s="6" t="s">
        <v>18</v>
      </c>
      <c r="D42" s="6" t="s">
        <v>25</v>
      </c>
      <c r="E42" s="6" t="s">
        <v>20</v>
      </c>
      <c r="F42" s="6">
        <v>19.0</v>
      </c>
      <c r="G42" s="14">
        <v>7.0</v>
      </c>
      <c r="H42" s="6"/>
      <c r="I42" s="6"/>
      <c r="J42" s="6"/>
      <c r="K42" s="6">
        <v>7.0</v>
      </c>
      <c r="L42" s="6">
        <v>20.0</v>
      </c>
      <c r="M42" s="6">
        <f t="shared" si="1"/>
        <v>13.5</v>
      </c>
      <c r="N42" s="15">
        <f t="shared" si="2"/>
        <v>13</v>
      </c>
      <c r="O42" s="6">
        <v>0.0</v>
      </c>
      <c r="P42" s="6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>
      <c r="A43" s="8" t="s">
        <v>83</v>
      </c>
      <c r="B43" s="11">
        <v>45957.0</v>
      </c>
      <c r="C43" s="8" t="s">
        <v>24</v>
      </c>
      <c r="D43" s="8" t="s">
        <v>25</v>
      </c>
      <c r="E43" s="8" t="s">
        <v>30</v>
      </c>
      <c r="F43" s="8">
        <v>22.0</v>
      </c>
      <c r="G43" s="14">
        <v>9.0</v>
      </c>
      <c r="H43" s="8"/>
      <c r="I43" s="8">
        <v>4.0</v>
      </c>
      <c r="J43" s="14" t="s">
        <v>36</v>
      </c>
      <c r="K43" s="8">
        <v>9.0</v>
      </c>
      <c r="L43" s="8">
        <v>24.0</v>
      </c>
      <c r="M43" s="6">
        <f t="shared" si="1"/>
        <v>16.5</v>
      </c>
      <c r="N43" s="15">
        <f t="shared" si="2"/>
        <v>15</v>
      </c>
      <c r="O43" s="8">
        <v>0.0</v>
      </c>
      <c r="P43" s="8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>
      <c r="A44" s="6" t="s">
        <v>84</v>
      </c>
      <c r="B44" s="7">
        <v>45957.0</v>
      </c>
      <c r="C44" s="6" t="s">
        <v>18</v>
      </c>
      <c r="D44" s="6" t="s">
        <v>25</v>
      </c>
      <c r="E44" s="6" t="s">
        <v>20</v>
      </c>
      <c r="F44" s="6">
        <v>22.0</v>
      </c>
      <c r="G44" s="14">
        <v>9.0</v>
      </c>
      <c r="H44" s="6"/>
      <c r="I44" s="6"/>
      <c r="J44" s="6"/>
      <c r="K44" s="6">
        <v>9.0</v>
      </c>
      <c r="L44" s="6">
        <v>24.0</v>
      </c>
      <c r="M44" s="6">
        <f t="shared" si="1"/>
        <v>16.5</v>
      </c>
      <c r="N44" s="15">
        <f t="shared" si="2"/>
        <v>15</v>
      </c>
      <c r="O44" s="6">
        <v>0.0</v>
      </c>
      <c r="P44" s="6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>
      <c r="A45" s="8" t="s">
        <v>85</v>
      </c>
      <c r="B45" s="11">
        <v>45957.0</v>
      </c>
      <c r="C45" s="8" t="s">
        <v>24</v>
      </c>
      <c r="D45" s="8" t="s">
        <v>25</v>
      </c>
      <c r="E45" s="8" t="s">
        <v>30</v>
      </c>
      <c r="F45" s="8">
        <v>22.0</v>
      </c>
      <c r="G45" s="8">
        <v>7.5</v>
      </c>
      <c r="H45" s="8"/>
      <c r="I45" s="8">
        <v>4.0</v>
      </c>
      <c r="J45" s="8">
        <v>7.5</v>
      </c>
      <c r="K45" s="8">
        <v>5.0</v>
      </c>
      <c r="L45" s="8">
        <v>10.0</v>
      </c>
      <c r="M45" s="6">
        <f t="shared" si="1"/>
        <v>7.5</v>
      </c>
      <c r="N45" s="9">
        <f t="shared" si="2"/>
        <v>5</v>
      </c>
      <c r="O45" s="8">
        <v>0.0</v>
      </c>
      <c r="P45" s="8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>
      <c r="A46" s="6" t="s">
        <v>86</v>
      </c>
      <c r="B46" s="7">
        <v>45957.0</v>
      </c>
      <c r="C46" s="6" t="s">
        <v>18</v>
      </c>
      <c r="D46" s="6" t="s">
        <v>25</v>
      </c>
      <c r="E46" s="6" t="s">
        <v>20</v>
      </c>
      <c r="F46" s="6">
        <v>22.0</v>
      </c>
      <c r="G46" s="14">
        <v>7.0</v>
      </c>
      <c r="H46" s="6"/>
      <c r="I46" s="6"/>
      <c r="J46" s="6"/>
      <c r="K46" s="6">
        <v>7.0</v>
      </c>
      <c r="L46" s="6">
        <v>20.0</v>
      </c>
      <c r="M46" s="6">
        <f t="shared" si="1"/>
        <v>13.5</v>
      </c>
      <c r="N46" s="15">
        <f t="shared" si="2"/>
        <v>13</v>
      </c>
      <c r="O46" s="6">
        <v>0.0</v>
      </c>
      <c r="P46" s="6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>
      <c r="A47" s="8" t="s">
        <v>87</v>
      </c>
      <c r="B47" s="11">
        <v>45957.0</v>
      </c>
      <c r="C47" s="8" t="s">
        <v>24</v>
      </c>
      <c r="D47" s="8" t="s">
        <v>25</v>
      </c>
      <c r="E47" s="8" t="s">
        <v>30</v>
      </c>
      <c r="F47" s="8">
        <v>22.0</v>
      </c>
      <c r="G47" s="14">
        <v>7.0</v>
      </c>
      <c r="H47" s="8"/>
      <c r="I47" s="8">
        <v>4.0</v>
      </c>
      <c r="J47" s="14" t="s">
        <v>36</v>
      </c>
      <c r="K47" s="8">
        <v>7.0</v>
      </c>
      <c r="L47" s="8">
        <v>40.0</v>
      </c>
      <c r="M47" s="6">
        <f t="shared" si="1"/>
        <v>23.5</v>
      </c>
      <c r="N47" s="15">
        <f t="shared" si="2"/>
        <v>33</v>
      </c>
      <c r="O47" s="8">
        <v>0.0</v>
      </c>
      <c r="P47" s="8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>
      <c r="A48" s="6" t="s">
        <v>88</v>
      </c>
      <c r="B48" s="11">
        <v>46038.0</v>
      </c>
      <c r="C48" s="8" t="s">
        <v>24</v>
      </c>
      <c r="D48" s="8" t="s">
        <v>25</v>
      </c>
      <c r="E48" s="8" t="s">
        <v>20</v>
      </c>
      <c r="F48" s="8">
        <v>19.0</v>
      </c>
      <c r="G48" s="14">
        <v>15.0</v>
      </c>
      <c r="H48" s="8" t="s">
        <v>40</v>
      </c>
      <c r="I48" s="8">
        <v>3.0</v>
      </c>
      <c r="J48" s="14" t="s">
        <v>36</v>
      </c>
      <c r="K48" s="8">
        <v>15.0</v>
      </c>
      <c r="L48" s="8">
        <v>40.0</v>
      </c>
      <c r="M48" s="6">
        <f t="shared" si="1"/>
        <v>27.5</v>
      </c>
      <c r="N48" s="15">
        <f t="shared" si="2"/>
        <v>25</v>
      </c>
      <c r="O48" s="8">
        <v>0.0</v>
      </c>
      <c r="P48" s="8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>
      <c r="A49" s="8" t="s">
        <v>89</v>
      </c>
      <c r="B49" s="11">
        <v>46038.0</v>
      </c>
      <c r="C49" s="8" t="s">
        <v>24</v>
      </c>
      <c r="D49" s="8" t="s">
        <v>25</v>
      </c>
      <c r="E49" s="8" t="s">
        <v>20</v>
      </c>
      <c r="F49" s="8">
        <v>19.0</v>
      </c>
      <c r="G49" s="8">
        <v>12.5</v>
      </c>
      <c r="H49" s="8" t="s">
        <v>60</v>
      </c>
      <c r="I49" s="8">
        <v>3.0</v>
      </c>
      <c r="J49" s="8">
        <v>12.5</v>
      </c>
      <c r="K49" s="8">
        <v>12.0</v>
      </c>
      <c r="L49" s="8">
        <v>13.0</v>
      </c>
      <c r="M49" s="6">
        <f t="shared" si="1"/>
        <v>12.5</v>
      </c>
      <c r="N49" s="9">
        <f t="shared" si="2"/>
        <v>1</v>
      </c>
      <c r="O49" s="8">
        <v>0.0</v>
      </c>
      <c r="P49" s="8" t="s">
        <v>78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6" t="s">
        <v>90</v>
      </c>
      <c r="B50" s="7">
        <v>46038.0</v>
      </c>
      <c r="C50" s="8" t="s">
        <v>18</v>
      </c>
      <c r="D50" s="6" t="s">
        <v>25</v>
      </c>
      <c r="E50" s="6" t="s">
        <v>20</v>
      </c>
      <c r="F50" s="6">
        <v>19.0</v>
      </c>
      <c r="G50" s="14">
        <v>15.0</v>
      </c>
      <c r="H50" s="6"/>
      <c r="I50" s="6"/>
      <c r="J50" s="6"/>
      <c r="K50" s="6">
        <v>15.0</v>
      </c>
      <c r="L50" s="6">
        <v>40.0</v>
      </c>
      <c r="M50" s="6">
        <f t="shared" si="1"/>
        <v>27.5</v>
      </c>
      <c r="N50" s="15">
        <f t="shared" si="2"/>
        <v>25</v>
      </c>
      <c r="O50" s="6">
        <v>0.0</v>
      </c>
      <c r="P50" s="6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>
      <c r="A51" s="8" t="s">
        <v>91</v>
      </c>
      <c r="B51" s="11">
        <v>46038.0</v>
      </c>
      <c r="C51" s="8" t="s">
        <v>24</v>
      </c>
      <c r="D51" s="8" t="s">
        <v>25</v>
      </c>
      <c r="E51" s="8" t="s">
        <v>20</v>
      </c>
      <c r="F51" s="8">
        <v>19.0</v>
      </c>
      <c r="G51" s="14">
        <v>7.0</v>
      </c>
      <c r="H51" s="8" t="s">
        <v>60</v>
      </c>
      <c r="I51" s="8">
        <v>4.0</v>
      </c>
      <c r="J51" s="14" t="s">
        <v>36</v>
      </c>
      <c r="K51" s="8">
        <v>7.0</v>
      </c>
      <c r="L51" s="8">
        <v>16.0</v>
      </c>
      <c r="M51" s="6">
        <f t="shared" si="1"/>
        <v>11.5</v>
      </c>
      <c r="N51" s="15">
        <f t="shared" si="2"/>
        <v>9</v>
      </c>
      <c r="O51" s="8">
        <v>0.0</v>
      </c>
      <c r="P51" s="8" t="s">
        <v>78</v>
      </c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>
      <c r="A52" s="6" t="s">
        <v>92</v>
      </c>
      <c r="B52" s="7">
        <v>46038.0</v>
      </c>
      <c r="C52" s="8" t="s">
        <v>18</v>
      </c>
      <c r="D52" s="6" t="s">
        <v>25</v>
      </c>
      <c r="E52" s="6" t="s">
        <v>20</v>
      </c>
      <c r="F52" s="6">
        <v>19.0</v>
      </c>
      <c r="G52" s="6">
        <v>12.5</v>
      </c>
      <c r="H52" s="6"/>
      <c r="I52" s="6"/>
      <c r="J52" s="6"/>
      <c r="K52" s="6">
        <v>12.0</v>
      </c>
      <c r="L52" s="6">
        <v>13.0</v>
      </c>
      <c r="M52" s="6">
        <f t="shared" si="1"/>
        <v>12.5</v>
      </c>
      <c r="N52" s="9">
        <f t="shared" si="2"/>
        <v>1</v>
      </c>
      <c r="O52" s="6">
        <v>0.0</v>
      </c>
      <c r="P52" s="6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>
      <c r="A53" s="6" t="s">
        <v>93</v>
      </c>
      <c r="B53" s="7">
        <v>46038.0</v>
      </c>
      <c r="C53" s="8" t="s">
        <v>18</v>
      </c>
      <c r="D53" s="6" t="s">
        <v>25</v>
      </c>
      <c r="E53" s="6" t="s">
        <v>20</v>
      </c>
      <c r="F53" s="6">
        <v>19.0</v>
      </c>
      <c r="G53" s="14">
        <v>7.0</v>
      </c>
      <c r="H53" s="6"/>
      <c r="I53" s="6"/>
      <c r="J53" s="6"/>
      <c r="K53" s="6">
        <v>7.0</v>
      </c>
      <c r="L53" s="6">
        <v>16.0</v>
      </c>
      <c r="M53" s="6">
        <f t="shared" si="1"/>
        <v>11.5</v>
      </c>
      <c r="N53" s="15">
        <f t="shared" si="2"/>
        <v>9</v>
      </c>
      <c r="O53" s="6">
        <v>0.0</v>
      </c>
      <c r="P53" s="6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>
      <c r="A54" s="6" t="s">
        <v>94</v>
      </c>
      <c r="B54" s="7">
        <v>46039.0</v>
      </c>
      <c r="C54" s="6" t="s">
        <v>18</v>
      </c>
      <c r="D54" s="6" t="s">
        <v>25</v>
      </c>
      <c r="E54" s="6" t="s">
        <v>30</v>
      </c>
      <c r="F54" s="6">
        <v>22.0</v>
      </c>
      <c r="G54" s="14">
        <v>11.0</v>
      </c>
      <c r="H54" s="6"/>
      <c r="I54" s="6"/>
      <c r="J54" s="6"/>
      <c r="K54" s="6">
        <v>11.0</v>
      </c>
      <c r="L54" s="6">
        <v>38.0</v>
      </c>
      <c r="M54" s="6">
        <f t="shared" si="1"/>
        <v>24.5</v>
      </c>
      <c r="N54" s="15">
        <f t="shared" si="2"/>
        <v>27</v>
      </c>
      <c r="O54" s="6">
        <v>0.0</v>
      </c>
      <c r="P54" s="6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>
      <c r="A55" s="6" t="s">
        <v>95</v>
      </c>
      <c r="B55" s="7">
        <v>46039.0</v>
      </c>
      <c r="C55" s="6" t="s">
        <v>18</v>
      </c>
      <c r="D55" s="6" t="s">
        <v>25</v>
      </c>
      <c r="E55" s="6" t="s">
        <v>30</v>
      </c>
      <c r="F55" s="6">
        <v>22.0</v>
      </c>
      <c r="G55" s="14">
        <v>11.0</v>
      </c>
      <c r="H55" s="6"/>
      <c r="I55" s="6"/>
      <c r="J55" s="6"/>
      <c r="K55" s="6">
        <v>11.0</v>
      </c>
      <c r="L55" s="6">
        <v>38.0</v>
      </c>
      <c r="M55" s="6">
        <f t="shared" si="1"/>
        <v>24.5</v>
      </c>
      <c r="N55" s="15">
        <f t="shared" si="2"/>
        <v>27</v>
      </c>
      <c r="O55" s="6">
        <v>0.0</v>
      </c>
      <c r="P55" s="6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>
      <c r="A56" s="8" t="s">
        <v>96</v>
      </c>
      <c r="B56" s="11">
        <v>46039.0</v>
      </c>
      <c r="C56" s="8" t="s">
        <v>24</v>
      </c>
      <c r="D56" s="8" t="s">
        <v>25</v>
      </c>
      <c r="E56" s="8" t="s">
        <v>30</v>
      </c>
      <c r="F56" s="8">
        <v>22.0</v>
      </c>
      <c r="G56" s="14">
        <v>11.0</v>
      </c>
      <c r="H56" s="8"/>
      <c r="I56" s="8">
        <v>3.0</v>
      </c>
      <c r="J56" s="14" t="s">
        <v>36</v>
      </c>
      <c r="K56" s="8">
        <v>11.0</v>
      </c>
      <c r="L56" s="8">
        <v>38.0</v>
      </c>
      <c r="M56" s="6">
        <f t="shared" si="1"/>
        <v>24.5</v>
      </c>
      <c r="N56" s="15">
        <f t="shared" si="2"/>
        <v>27</v>
      </c>
      <c r="O56" s="8">
        <v>0.0</v>
      </c>
      <c r="P56" s="8"/>
      <c r="Q56" s="8" t="s">
        <v>97</v>
      </c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>
      <c r="A57" s="6" t="s">
        <v>98</v>
      </c>
      <c r="B57" s="7">
        <v>46039.0</v>
      </c>
      <c r="C57" s="8" t="s">
        <v>18</v>
      </c>
      <c r="D57" s="6" t="s">
        <v>25</v>
      </c>
      <c r="E57" s="6" t="s">
        <v>30</v>
      </c>
      <c r="F57" s="6">
        <v>22.0</v>
      </c>
      <c r="G57" s="6">
        <v>13.0</v>
      </c>
      <c r="H57" s="6"/>
      <c r="I57" s="6"/>
      <c r="J57" s="8">
        <v>13.0</v>
      </c>
      <c r="K57" s="6">
        <v>11.0</v>
      </c>
      <c r="L57" s="6">
        <v>15.0</v>
      </c>
      <c r="M57" s="6">
        <f t="shared" si="1"/>
        <v>13</v>
      </c>
      <c r="N57" s="9">
        <f t="shared" si="2"/>
        <v>4</v>
      </c>
      <c r="O57" s="6">
        <v>0.0</v>
      </c>
      <c r="P57" s="6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>
      <c r="A58" s="6" t="s">
        <v>99</v>
      </c>
      <c r="B58" s="7">
        <v>46039.0</v>
      </c>
      <c r="C58" s="8" t="s">
        <v>18</v>
      </c>
      <c r="D58" s="6" t="s">
        <v>25</v>
      </c>
      <c r="E58" s="6" t="s">
        <v>30</v>
      </c>
      <c r="F58" s="6">
        <v>22.0</v>
      </c>
      <c r="G58" s="6">
        <v>13.0</v>
      </c>
      <c r="H58" s="6"/>
      <c r="I58" s="6"/>
      <c r="J58" s="8">
        <v>13.0</v>
      </c>
      <c r="K58" s="6">
        <v>11.0</v>
      </c>
      <c r="L58" s="6">
        <v>15.0</v>
      </c>
      <c r="M58" s="6">
        <f t="shared" si="1"/>
        <v>13</v>
      </c>
      <c r="N58" s="9">
        <f t="shared" si="2"/>
        <v>4</v>
      </c>
      <c r="O58" s="6">
        <v>0.0</v>
      </c>
      <c r="P58" s="6"/>
      <c r="Q58" s="16" t="s">
        <v>100</v>
      </c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>
      <c r="A59" s="8" t="s">
        <v>101</v>
      </c>
      <c r="B59" s="11">
        <v>46039.0</v>
      </c>
      <c r="C59" s="8" t="s">
        <v>24</v>
      </c>
      <c r="D59" s="8" t="s">
        <v>25</v>
      </c>
      <c r="E59" s="8" t="s">
        <v>30</v>
      </c>
      <c r="F59" s="8">
        <v>22.0</v>
      </c>
      <c r="G59" s="8">
        <v>13.0</v>
      </c>
      <c r="H59" s="8"/>
      <c r="I59" s="8">
        <v>3.0</v>
      </c>
      <c r="J59" s="8">
        <v>13.0</v>
      </c>
      <c r="K59" s="8">
        <v>11.0</v>
      </c>
      <c r="L59" s="8">
        <v>15.0</v>
      </c>
      <c r="M59" s="6">
        <f t="shared" si="1"/>
        <v>13</v>
      </c>
      <c r="N59" s="9">
        <f t="shared" si="2"/>
        <v>4</v>
      </c>
      <c r="O59" s="8">
        <v>0.0</v>
      </c>
      <c r="P59" s="8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>
      <c r="A60" s="8" t="s">
        <v>102</v>
      </c>
      <c r="B60" s="11">
        <v>46041.0</v>
      </c>
      <c r="C60" s="8" t="s">
        <v>24</v>
      </c>
      <c r="D60" s="8" t="s">
        <v>25</v>
      </c>
      <c r="E60" s="8" t="s">
        <v>20</v>
      </c>
      <c r="F60" s="8">
        <v>22.0</v>
      </c>
      <c r="G60" s="8">
        <v>33.0</v>
      </c>
      <c r="H60" s="8"/>
      <c r="I60" s="8" t="s">
        <v>26</v>
      </c>
      <c r="J60" s="8">
        <v>33.0</v>
      </c>
      <c r="K60" s="8">
        <v>33.0</v>
      </c>
      <c r="L60" s="8" t="s">
        <v>21</v>
      </c>
      <c r="M60" s="6">
        <f t="shared" si="1"/>
        <v>33</v>
      </c>
      <c r="N60" s="9" t="str">
        <f t="shared" si="2"/>
        <v>#VALUE!</v>
      </c>
      <c r="O60" s="8" t="s">
        <v>103</v>
      </c>
      <c r="P60" s="8"/>
      <c r="Q60" s="8" t="s">
        <v>104</v>
      </c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>
      <c r="A61" s="6" t="s">
        <v>105</v>
      </c>
      <c r="B61" s="7">
        <v>46041.0</v>
      </c>
      <c r="C61" s="8" t="s">
        <v>18</v>
      </c>
      <c r="D61" s="6" t="s">
        <v>25</v>
      </c>
      <c r="E61" s="6" t="s">
        <v>20</v>
      </c>
      <c r="F61" s="6">
        <v>22.0</v>
      </c>
      <c r="G61" s="6">
        <v>33.0</v>
      </c>
      <c r="H61" s="6"/>
      <c r="I61" s="6"/>
      <c r="J61" s="8">
        <v>33.0</v>
      </c>
      <c r="K61" s="6">
        <v>33.0</v>
      </c>
      <c r="L61" s="6" t="s">
        <v>21</v>
      </c>
      <c r="M61" s="6">
        <f t="shared" si="1"/>
        <v>33</v>
      </c>
      <c r="N61" s="9" t="str">
        <f t="shared" si="2"/>
        <v>#VALUE!</v>
      </c>
      <c r="O61" s="6">
        <v>0.0</v>
      </c>
      <c r="P61" s="6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>
      <c r="A62" s="6" t="s">
        <v>106</v>
      </c>
      <c r="B62" s="7">
        <v>46041.0</v>
      </c>
      <c r="C62" s="6" t="s">
        <v>18</v>
      </c>
      <c r="D62" s="6" t="s">
        <v>25</v>
      </c>
      <c r="E62" s="6" t="s">
        <v>20</v>
      </c>
      <c r="F62" s="6">
        <v>22.0</v>
      </c>
      <c r="G62" s="6">
        <v>33.0</v>
      </c>
      <c r="H62" s="6"/>
      <c r="I62" s="6"/>
      <c r="J62" s="8">
        <v>33.0</v>
      </c>
      <c r="K62" s="6">
        <v>33.0</v>
      </c>
      <c r="L62" s="6" t="s">
        <v>21</v>
      </c>
      <c r="M62" s="6">
        <f t="shared" si="1"/>
        <v>33</v>
      </c>
      <c r="N62" s="9" t="str">
        <f t="shared" si="2"/>
        <v>#VALUE!</v>
      </c>
      <c r="O62" s="6">
        <v>0.0</v>
      </c>
      <c r="P62" s="6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>
      <c r="A63" s="6" t="s">
        <v>107</v>
      </c>
      <c r="B63" s="7">
        <v>46041.0</v>
      </c>
      <c r="C63" s="6" t="s">
        <v>18</v>
      </c>
      <c r="D63" s="6" t="s">
        <v>25</v>
      </c>
      <c r="E63" s="6" t="s">
        <v>20</v>
      </c>
      <c r="F63" s="6">
        <v>22.0</v>
      </c>
      <c r="G63" s="6">
        <v>33.0</v>
      </c>
      <c r="H63" s="6"/>
      <c r="I63" s="6"/>
      <c r="J63" s="8">
        <v>33.0</v>
      </c>
      <c r="K63" s="6">
        <v>33.0</v>
      </c>
      <c r="L63" s="6" t="s">
        <v>21</v>
      </c>
      <c r="M63" s="6">
        <f t="shared" si="1"/>
        <v>33</v>
      </c>
      <c r="N63" s="9" t="str">
        <f t="shared" si="2"/>
        <v>#VALUE!</v>
      </c>
      <c r="O63" s="6">
        <v>0.0</v>
      </c>
      <c r="P63" s="6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>
      <c r="A64" s="6" t="s">
        <v>108</v>
      </c>
      <c r="B64" s="7">
        <v>46061.0</v>
      </c>
      <c r="C64" s="6" t="s">
        <v>18</v>
      </c>
      <c r="D64" s="6" t="s">
        <v>109</v>
      </c>
      <c r="E64" s="6" t="s">
        <v>110</v>
      </c>
      <c r="F64" s="6">
        <v>19.0</v>
      </c>
      <c r="G64" s="6">
        <v>12.0</v>
      </c>
      <c r="H64" s="6"/>
      <c r="I64" s="6"/>
      <c r="J64" s="6">
        <v>12.0</v>
      </c>
      <c r="K64" s="6">
        <v>10.0</v>
      </c>
      <c r="L64" s="6">
        <v>14.0</v>
      </c>
      <c r="M64" s="6">
        <f t="shared" si="1"/>
        <v>12</v>
      </c>
      <c r="N64" s="9">
        <f t="shared" si="2"/>
        <v>4</v>
      </c>
      <c r="O64" s="6">
        <v>0.0</v>
      </c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>
      <c r="A65" s="8" t="s">
        <v>111</v>
      </c>
      <c r="B65" s="11">
        <v>46061.0</v>
      </c>
      <c r="C65" s="8" t="s">
        <v>24</v>
      </c>
      <c r="D65" s="8" t="s">
        <v>109</v>
      </c>
      <c r="E65" s="8" t="s">
        <v>110</v>
      </c>
      <c r="F65" s="8">
        <v>19.0</v>
      </c>
      <c r="G65" s="8">
        <v>12.0</v>
      </c>
      <c r="H65" s="8"/>
      <c r="I65" s="8">
        <v>3.0</v>
      </c>
      <c r="J65" s="8">
        <v>12.0</v>
      </c>
      <c r="K65" s="8">
        <v>10.0</v>
      </c>
      <c r="L65" s="8">
        <v>14.0</v>
      </c>
      <c r="M65" s="6">
        <f t="shared" si="1"/>
        <v>12</v>
      </c>
      <c r="N65" s="9">
        <f t="shared" si="2"/>
        <v>4</v>
      </c>
      <c r="O65" s="8">
        <v>0.0</v>
      </c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>
      <c r="A66" s="8" t="s">
        <v>112</v>
      </c>
      <c r="B66" s="11">
        <v>46061.0</v>
      </c>
      <c r="C66" s="8" t="s">
        <v>24</v>
      </c>
      <c r="D66" s="8" t="s">
        <v>109</v>
      </c>
      <c r="E66" s="8" t="s">
        <v>110</v>
      </c>
      <c r="F66" s="8">
        <v>19.0</v>
      </c>
      <c r="G66" s="8">
        <v>23.0</v>
      </c>
      <c r="H66" s="8"/>
      <c r="I66" s="8">
        <v>3.0</v>
      </c>
      <c r="J66" s="8">
        <v>23.0</v>
      </c>
      <c r="K66" s="8">
        <v>23.0</v>
      </c>
      <c r="L66" s="8">
        <v>23.0</v>
      </c>
      <c r="M66" s="6">
        <f t="shared" si="1"/>
        <v>23</v>
      </c>
      <c r="N66" s="9">
        <f t="shared" si="2"/>
        <v>0</v>
      </c>
      <c r="O66" s="8">
        <v>0.0</v>
      </c>
      <c r="P66" s="13"/>
      <c r="Q66" s="8" t="s">
        <v>113</v>
      </c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>
      <c r="A67" s="8" t="s">
        <v>114</v>
      </c>
      <c r="B67" s="11">
        <v>46061.0</v>
      </c>
      <c r="C67" s="8" t="s">
        <v>24</v>
      </c>
      <c r="D67" s="8" t="s">
        <v>109</v>
      </c>
      <c r="E67" s="8" t="s">
        <v>110</v>
      </c>
      <c r="F67" s="8">
        <v>19.0</v>
      </c>
      <c r="G67" s="8">
        <v>17.0</v>
      </c>
      <c r="H67" s="8"/>
      <c r="I67" s="8">
        <v>3.0</v>
      </c>
      <c r="J67" s="8">
        <v>17.0</v>
      </c>
      <c r="K67" s="8">
        <v>16.0</v>
      </c>
      <c r="L67" s="8">
        <v>18.0</v>
      </c>
      <c r="M67" s="6">
        <f t="shared" si="1"/>
        <v>17</v>
      </c>
      <c r="N67" s="9">
        <f t="shared" si="2"/>
        <v>2</v>
      </c>
      <c r="O67" s="8">
        <v>0.0</v>
      </c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>
      <c r="A68" s="6" t="s">
        <v>115</v>
      </c>
      <c r="B68" s="7">
        <v>46061.0</v>
      </c>
      <c r="C68" s="6" t="s">
        <v>18</v>
      </c>
      <c r="D68" s="6" t="s">
        <v>109</v>
      </c>
      <c r="E68" s="6" t="s">
        <v>110</v>
      </c>
      <c r="F68" s="6">
        <v>19.0</v>
      </c>
      <c r="G68" s="6">
        <v>17.0</v>
      </c>
      <c r="H68" s="6"/>
      <c r="I68" s="6"/>
      <c r="J68" s="8">
        <v>17.0</v>
      </c>
      <c r="K68" s="6">
        <v>16.0</v>
      </c>
      <c r="L68" s="6">
        <v>18.0</v>
      </c>
      <c r="M68" s="6">
        <f t="shared" si="1"/>
        <v>17</v>
      </c>
      <c r="N68" s="9">
        <f t="shared" si="2"/>
        <v>2</v>
      </c>
      <c r="O68" s="6">
        <v>0.0</v>
      </c>
      <c r="P68" s="10"/>
      <c r="Q68" s="6" t="s">
        <v>116</v>
      </c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>
      <c r="A69" s="8" t="s">
        <v>117</v>
      </c>
      <c r="B69" s="11">
        <v>46061.0</v>
      </c>
      <c r="C69" s="8" t="s">
        <v>24</v>
      </c>
      <c r="D69" s="8" t="s">
        <v>109</v>
      </c>
      <c r="E69" s="8" t="s">
        <v>118</v>
      </c>
      <c r="F69" s="8">
        <v>19.0</v>
      </c>
      <c r="G69" s="8">
        <v>18.0</v>
      </c>
      <c r="H69" s="8" t="s">
        <v>40</v>
      </c>
      <c r="I69" s="8">
        <v>4.0</v>
      </c>
      <c r="J69" s="8">
        <v>18.0</v>
      </c>
      <c r="K69" s="8">
        <v>16.0</v>
      </c>
      <c r="L69" s="8">
        <v>20.0</v>
      </c>
      <c r="M69" s="6">
        <f t="shared" si="1"/>
        <v>18</v>
      </c>
      <c r="N69" s="9">
        <f t="shared" si="2"/>
        <v>4</v>
      </c>
      <c r="O69" s="8">
        <v>0.0</v>
      </c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>
      <c r="A70" s="8" t="s">
        <v>119</v>
      </c>
      <c r="B70" s="11">
        <v>46061.0</v>
      </c>
      <c r="C70" s="8" t="s">
        <v>24</v>
      </c>
      <c r="D70" s="8" t="s">
        <v>109</v>
      </c>
      <c r="E70" s="8" t="s">
        <v>110</v>
      </c>
      <c r="F70" s="8">
        <v>19.0</v>
      </c>
      <c r="G70" s="8">
        <v>8.0</v>
      </c>
      <c r="H70" s="8"/>
      <c r="I70" s="8">
        <v>3.0</v>
      </c>
      <c r="J70" s="8">
        <v>8.0</v>
      </c>
      <c r="K70" s="8">
        <v>8.0</v>
      </c>
      <c r="L70" s="8">
        <v>8.0</v>
      </c>
      <c r="M70" s="6">
        <f t="shared" si="1"/>
        <v>8</v>
      </c>
      <c r="N70" s="9">
        <f t="shared" si="2"/>
        <v>0</v>
      </c>
      <c r="O70" s="8">
        <v>0.0</v>
      </c>
      <c r="P70" s="13"/>
      <c r="Q70" s="8" t="s">
        <v>120</v>
      </c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>
      <c r="A71" s="8" t="s">
        <v>121</v>
      </c>
      <c r="B71" s="11">
        <v>46061.0</v>
      </c>
      <c r="C71" s="8" t="s">
        <v>24</v>
      </c>
      <c r="D71" s="8" t="s">
        <v>109</v>
      </c>
      <c r="E71" s="8" t="s">
        <v>118</v>
      </c>
      <c r="F71" s="8">
        <v>19.0</v>
      </c>
      <c r="G71" s="14">
        <v>20.0</v>
      </c>
      <c r="H71" s="8" t="s">
        <v>40</v>
      </c>
      <c r="I71" s="8">
        <v>4.0</v>
      </c>
      <c r="J71" s="14" t="s">
        <v>36</v>
      </c>
      <c r="K71" s="8">
        <v>20.0</v>
      </c>
      <c r="L71" s="8">
        <v>27.0</v>
      </c>
      <c r="M71" s="6">
        <f t="shared" si="1"/>
        <v>23.5</v>
      </c>
      <c r="N71" s="15">
        <f t="shared" si="2"/>
        <v>7</v>
      </c>
      <c r="O71" s="8">
        <v>0.0</v>
      </c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>
      <c r="A72" s="6" t="s">
        <v>122</v>
      </c>
      <c r="B72" s="7">
        <v>46061.0</v>
      </c>
      <c r="C72" s="6" t="s">
        <v>18</v>
      </c>
      <c r="D72" s="6" t="s">
        <v>109</v>
      </c>
      <c r="E72" s="6" t="s">
        <v>118</v>
      </c>
      <c r="F72" s="6">
        <v>19.0</v>
      </c>
      <c r="G72" s="6">
        <v>17.5</v>
      </c>
      <c r="H72" s="6"/>
      <c r="I72" s="6"/>
      <c r="J72" s="8">
        <v>17.5</v>
      </c>
      <c r="K72" s="6">
        <v>18.0</v>
      </c>
      <c r="L72" s="6">
        <v>17.0</v>
      </c>
      <c r="M72" s="6">
        <f t="shared" si="1"/>
        <v>17.5</v>
      </c>
      <c r="N72" s="9">
        <f t="shared" si="2"/>
        <v>1</v>
      </c>
      <c r="O72" s="6">
        <v>0.0</v>
      </c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>
      <c r="A73" s="8" t="s">
        <v>123</v>
      </c>
      <c r="B73" s="11">
        <v>46061.0</v>
      </c>
      <c r="C73" s="8" t="s">
        <v>24</v>
      </c>
      <c r="D73" s="8" t="s">
        <v>109</v>
      </c>
      <c r="E73" s="8" t="s">
        <v>118</v>
      </c>
      <c r="F73" s="8">
        <v>19.0</v>
      </c>
      <c r="G73" s="8">
        <v>17.5</v>
      </c>
      <c r="H73" s="8" t="s">
        <v>40</v>
      </c>
      <c r="I73" s="8">
        <v>4.0</v>
      </c>
      <c r="J73" s="8">
        <v>17.5</v>
      </c>
      <c r="K73" s="8">
        <v>15.0</v>
      </c>
      <c r="L73" s="8">
        <v>20.0</v>
      </c>
      <c r="M73" s="6">
        <f t="shared" si="1"/>
        <v>17.5</v>
      </c>
      <c r="N73" s="9">
        <f t="shared" si="2"/>
        <v>5</v>
      </c>
      <c r="O73" s="8">
        <v>0.0</v>
      </c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>
      <c r="A74" s="8" t="s">
        <v>124</v>
      </c>
      <c r="B74" s="11">
        <v>46061.0</v>
      </c>
      <c r="C74" s="8" t="s">
        <v>24</v>
      </c>
      <c r="D74" s="8" t="s">
        <v>109</v>
      </c>
      <c r="E74" s="8" t="s">
        <v>118</v>
      </c>
      <c r="F74" s="8">
        <v>19.0</v>
      </c>
      <c r="G74" s="8">
        <v>17.5</v>
      </c>
      <c r="H74" s="8" t="s">
        <v>40</v>
      </c>
      <c r="I74" s="8">
        <v>4.0</v>
      </c>
      <c r="J74" s="8">
        <v>17.5</v>
      </c>
      <c r="K74" s="8">
        <v>18.0</v>
      </c>
      <c r="L74" s="8">
        <v>17.0</v>
      </c>
      <c r="M74" s="6">
        <f t="shared" si="1"/>
        <v>17.5</v>
      </c>
      <c r="N74" s="9">
        <f t="shared" si="2"/>
        <v>1</v>
      </c>
      <c r="O74" s="8">
        <v>0.0</v>
      </c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>
      <c r="A75" s="6" t="s">
        <v>125</v>
      </c>
      <c r="B75" s="7">
        <v>46064.0</v>
      </c>
      <c r="C75" s="6" t="s">
        <v>18</v>
      </c>
      <c r="D75" s="6" t="s">
        <v>109</v>
      </c>
      <c r="E75" s="6" t="s">
        <v>110</v>
      </c>
      <c r="F75" s="6">
        <v>22.0</v>
      </c>
      <c r="G75" s="14">
        <v>20.0</v>
      </c>
      <c r="H75" s="6"/>
      <c r="I75" s="6"/>
      <c r="J75" s="6"/>
      <c r="K75" s="6">
        <v>20.0</v>
      </c>
      <c r="L75" s="6">
        <v>65.0</v>
      </c>
      <c r="M75" s="6">
        <f t="shared" si="1"/>
        <v>42.5</v>
      </c>
      <c r="N75" s="15">
        <f t="shared" si="2"/>
        <v>45</v>
      </c>
      <c r="O75" s="6">
        <v>0.0</v>
      </c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>
      <c r="A76" s="8" t="s">
        <v>126</v>
      </c>
      <c r="B76" s="11">
        <v>46064.0</v>
      </c>
      <c r="C76" s="8" t="s">
        <v>24</v>
      </c>
      <c r="D76" s="8" t="s">
        <v>109</v>
      </c>
      <c r="E76" s="8" t="s">
        <v>110</v>
      </c>
      <c r="F76" s="8">
        <v>22.0</v>
      </c>
      <c r="G76" s="14">
        <v>20.0</v>
      </c>
      <c r="H76" s="8"/>
      <c r="I76" s="8">
        <v>6.0</v>
      </c>
      <c r="J76" s="14" t="s">
        <v>36</v>
      </c>
      <c r="K76" s="8">
        <v>20.0</v>
      </c>
      <c r="L76" s="8">
        <v>65.0</v>
      </c>
      <c r="M76" s="6">
        <f t="shared" si="1"/>
        <v>42.5</v>
      </c>
      <c r="N76" s="15">
        <f t="shared" si="2"/>
        <v>45</v>
      </c>
      <c r="O76" s="8">
        <v>0.0</v>
      </c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>
      <c r="A77" s="8" t="s">
        <v>127</v>
      </c>
      <c r="B77" s="11">
        <v>46064.0</v>
      </c>
      <c r="C77" s="8" t="s">
        <v>24</v>
      </c>
      <c r="D77" s="8" t="s">
        <v>109</v>
      </c>
      <c r="E77" s="8" t="s">
        <v>110</v>
      </c>
      <c r="F77" s="8">
        <v>22.0</v>
      </c>
      <c r="G77" s="8">
        <v>39.0</v>
      </c>
      <c r="H77" s="8"/>
      <c r="I77" s="8">
        <v>6.0</v>
      </c>
      <c r="J77" s="8">
        <v>39.0</v>
      </c>
      <c r="K77" s="8">
        <v>38.0</v>
      </c>
      <c r="L77" s="8">
        <v>40.0</v>
      </c>
      <c r="M77" s="6">
        <f t="shared" si="1"/>
        <v>39</v>
      </c>
      <c r="N77" s="9">
        <f t="shared" si="2"/>
        <v>2</v>
      </c>
      <c r="O77" s="8">
        <v>0.0</v>
      </c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>
      <c r="A78" s="8" t="s">
        <v>128</v>
      </c>
      <c r="B78" s="11">
        <v>46064.0</v>
      </c>
      <c r="C78" s="8" t="s">
        <v>24</v>
      </c>
      <c r="D78" s="8" t="s">
        <v>109</v>
      </c>
      <c r="E78" s="8" t="s">
        <v>110</v>
      </c>
      <c r="F78" s="8">
        <v>22.0</v>
      </c>
      <c r="G78" s="8">
        <v>65.0</v>
      </c>
      <c r="H78" s="8"/>
      <c r="I78" s="8" t="s">
        <v>26</v>
      </c>
      <c r="J78" s="8">
        <v>65.0</v>
      </c>
      <c r="K78" s="8">
        <v>65.0</v>
      </c>
      <c r="L78" s="8" t="s">
        <v>21</v>
      </c>
      <c r="M78" s="6">
        <f t="shared" si="1"/>
        <v>65</v>
      </c>
      <c r="N78" s="9" t="str">
        <f t="shared" si="2"/>
        <v>#VALUE!</v>
      </c>
      <c r="O78" s="8">
        <v>0.0</v>
      </c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>
      <c r="A79" s="6" t="s">
        <v>129</v>
      </c>
      <c r="B79" s="7">
        <v>46064.0</v>
      </c>
      <c r="C79" s="6" t="s">
        <v>18</v>
      </c>
      <c r="D79" s="6" t="s">
        <v>109</v>
      </c>
      <c r="E79" s="6" t="s">
        <v>110</v>
      </c>
      <c r="F79" s="6">
        <v>22.0</v>
      </c>
      <c r="G79" s="6">
        <v>34.0</v>
      </c>
      <c r="H79" s="6"/>
      <c r="I79" s="6"/>
      <c r="J79" s="8">
        <v>34.0</v>
      </c>
      <c r="K79" s="6">
        <v>34.0</v>
      </c>
      <c r="L79" s="6" t="s">
        <v>21</v>
      </c>
      <c r="M79" s="6">
        <f t="shared" si="1"/>
        <v>34</v>
      </c>
      <c r="N79" s="9" t="str">
        <f t="shared" si="2"/>
        <v>#VALUE!</v>
      </c>
      <c r="O79" s="6">
        <v>0.0</v>
      </c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8" t="s">
        <v>130</v>
      </c>
      <c r="B80" s="11">
        <v>46064.0</v>
      </c>
      <c r="C80" s="8" t="s">
        <v>24</v>
      </c>
      <c r="D80" s="8" t="s">
        <v>109</v>
      </c>
      <c r="E80" s="8" t="s">
        <v>118</v>
      </c>
      <c r="F80" s="8">
        <v>22.0</v>
      </c>
      <c r="G80" s="8">
        <v>46.0</v>
      </c>
      <c r="H80" s="8"/>
      <c r="I80" s="8">
        <v>6.0</v>
      </c>
      <c r="J80" s="8">
        <v>46.0</v>
      </c>
      <c r="K80" s="8">
        <v>44.0</v>
      </c>
      <c r="L80" s="8">
        <v>48.0</v>
      </c>
      <c r="M80" s="6">
        <f t="shared" si="1"/>
        <v>46</v>
      </c>
      <c r="N80" s="9">
        <f t="shared" si="2"/>
        <v>4</v>
      </c>
      <c r="O80" s="8">
        <v>0.0</v>
      </c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8" t="s">
        <v>131</v>
      </c>
      <c r="B81" s="11">
        <v>46064.0</v>
      </c>
      <c r="C81" s="8" t="s">
        <v>24</v>
      </c>
      <c r="D81" s="8" t="s">
        <v>109</v>
      </c>
      <c r="E81" s="8" t="s">
        <v>110</v>
      </c>
      <c r="F81" s="8">
        <v>22.0</v>
      </c>
      <c r="G81" s="8">
        <v>34.0</v>
      </c>
      <c r="H81" s="8"/>
      <c r="I81" s="8" t="s">
        <v>26</v>
      </c>
      <c r="J81" s="8">
        <v>34.0</v>
      </c>
      <c r="K81" s="8">
        <v>34.0</v>
      </c>
      <c r="L81" s="8" t="s">
        <v>21</v>
      </c>
      <c r="M81" s="6">
        <f t="shared" si="1"/>
        <v>34</v>
      </c>
      <c r="N81" s="9" t="str">
        <f t="shared" si="2"/>
        <v>#VALUE!</v>
      </c>
      <c r="O81" s="8">
        <v>0.0</v>
      </c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8" t="s">
        <v>132</v>
      </c>
      <c r="B82" s="11">
        <v>46064.0</v>
      </c>
      <c r="C82" s="8" t="s">
        <v>24</v>
      </c>
      <c r="D82" s="8" t="s">
        <v>109</v>
      </c>
      <c r="E82" s="8" t="s">
        <v>118</v>
      </c>
      <c r="F82" s="8">
        <v>22.0</v>
      </c>
      <c r="G82" s="14">
        <v>22.0</v>
      </c>
      <c r="H82" s="8"/>
      <c r="I82" s="8">
        <v>6.0</v>
      </c>
      <c r="J82" s="14" t="s">
        <v>36</v>
      </c>
      <c r="K82" s="8">
        <v>22.0</v>
      </c>
      <c r="L82" s="8">
        <v>33.0</v>
      </c>
      <c r="M82" s="6">
        <f t="shared" si="1"/>
        <v>27.5</v>
      </c>
      <c r="N82" s="15">
        <f t="shared" si="2"/>
        <v>11</v>
      </c>
      <c r="O82" s="8">
        <v>0.0</v>
      </c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6" t="s">
        <v>133</v>
      </c>
      <c r="B83" s="7">
        <v>46064.0</v>
      </c>
      <c r="C83" s="6" t="s">
        <v>18</v>
      </c>
      <c r="D83" s="6" t="s">
        <v>109</v>
      </c>
      <c r="E83" s="6" t="s">
        <v>118</v>
      </c>
      <c r="F83" s="6">
        <v>22.0</v>
      </c>
      <c r="G83" s="14">
        <v>22.0</v>
      </c>
      <c r="H83" s="6"/>
      <c r="I83" s="6"/>
      <c r="J83" s="6"/>
      <c r="K83" s="6">
        <v>22.0</v>
      </c>
      <c r="L83" s="6">
        <v>33.0</v>
      </c>
      <c r="M83" s="6">
        <f t="shared" si="1"/>
        <v>27.5</v>
      </c>
      <c r="N83" s="15">
        <f t="shared" si="2"/>
        <v>11</v>
      </c>
      <c r="O83" s="6">
        <v>0.0</v>
      </c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8" t="s">
        <v>134</v>
      </c>
      <c r="B84" s="11">
        <v>46064.0</v>
      </c>
      <c r="C84" s="8" t="s">
        <v>24</v>
      </c>
      <c r="D84" s="8" t="s">
        <v>109</v>
      </c>
      <c r="E84" s="8" t="s">
        <v>118</v>
      </c>
      <c r="F84" s="8">
        <v>22.0</v>
      </c>
      <c r="G84" s="8">
        <v>46.5</v>
      </c>
      <c r="H84" s="8"/>
      <c r="I84" s="8">
        <v>6.0</v>
      </c>
      <c r="J84" s="8">
        <v>46.5</v>
      </c>
      <c r="K84" s="8">
        <v>47.0</v>
      </c>
      <c r="L84" s="8">
        <v>46.0</v>
      </c>
      <c r="M84" s="6">
        <f t="shared" si="1"/>
        <v>46.5</v>
      </c>
      <c r="N84" s="9">
        <f t="shared" si="2"/>
        <v>1</v>
      </c>
      <c r="O84" s="8">
        <v>0.0</v>
      </c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8" t="s">
        <v>135</v>
      </c>
      <c r="B85" s="11">
        <v>46064.0</v>
      </c>
      <c r="C85" s="8" t="s">
        <v>24</v>
      </c>
      <c r="D85" s="8" t="s">
        <v>109</v>
      </c>
      <c r="E85" s="8" t="s">
        <v>118</v>
      </c>
      <c r="F85" s="8">
        <v>22.0</v>
      </c>
      <c r="G85" s="14">
        <v>59.0</v>
      </c>
      <c r="H85" s="8"/>
      <c r="I85" s="8">
        <v>6.0</v>
      </c>
      <c r="J85" s="14" t="s">
        <v>36</v>
      </c>
      <c r="K85" s="8">
        <v>59.0</v>
      </c>
      <c r="L85" s="8">
        <v>106.0</v>
      </c>
      <c r="M85" s="6">
        <f t="shared" si="1"/>
        <v>82.5</v>
      </c>
      <c r="N85" s="15">
        <f t="shared" si="2"/>
        <v>47</v>
      </c>
      <c r="O85" s="8">
        <v>0.0</v>
      </c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6" t="s">
        <v>136</v>
      </c>
      <c r="B86" s="7">
        <v>46086.0</v>
      </c>
      <c r="C86" s="6" t="s">
        <v>18</v>
      </c>
      <c r="D86" s="6" t="s">
        <v>109</v>
      </c>
      <c r="E86" s="6" t="s">
        <v>110</v>
      </c>
      <c r="F86" s="6">
        <v>19.0</v>
      </c>
      <c r="G86" s="6">
        <v>7.5</v>
      </c>
      <c r="H86" s="6"/>
      <c r="I86" s="6"/>
      <c r="J86" s="8">
        <v>7.5</v>
      </c>
      <c r="K86" s="6">
        <v>10.0</v>
      </c>
      <c r="L86" s="6">
        <v>5.0</v>
      </c>
      <c r="M86" s="6">
        <f t="shared" si="1"/>
        <v>7.5</v>
      </c>
      <c r="N86" s="9">
        <f t="shared" si="2"/>
        <v>5</v>
      </c>
      <c r="O86" s="6">
        <v>0.0</v>
      </c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8" t="s">
        <v>137</v>
      </c>
      <c r="B87" s="11">
        <v>46086.0</v>
      </c>
      <c r="C87" s="8" t="s">
        <v>24</v>
      </c>
      <c r="D87" s="8" t="s">
        <v>109</v>
      </c>
      <c r="E87" s="8" t="s">
        <v>110</v>
      </c>
      <c r="F87" s="8">
        <v>19.0</v>
      </c>
      <c r="G87" s="8">
        <v>7.5</v>
      </c>
      <c r="H87" s="8"/>
      <c r="I87" s="8">
        <v>3.0</v>
      </c>
      <c r="J87" s="8">
        <v>7.5</v>
      </c>
      <c r="K87" s="8">
        <v>10.0</v>
      </c>
      <c r="L87" s="8">
        <v>5.0</v>
      </c>
      <c r="M87" s="6">
        <f t="shared" si="1"/>
        <v>7.5</v>
      </c>
      <c r="N87" s="9">
        <f t="shared" si="2"/>
        <v>5</v>
      </c>
      <c r="O87" s="8">
        <v>0.0</v>
      </c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8" t="s">
        <v>138</v>
      </c>
      <c r="B88" s="11">
        <v>46086.0</v>
      </c>
      <c r="C88" s="8" t="s">
        <v>24</v>
      </c>
      <c r="D88" s="8" t="s">
        <v>109</v>
      </c>
      <c r="E88" s="8" t="s">
        <v>110</v>
      </c>
      <c r="F88" s="8">
        <v>19.0</v>
      </c>
      <c r="G88" s="8">
        <v>7.5</v>
      </c>
      <c r="H88" s="8"/>
      <c r="I88" s="8">
        <v>3.0</v>
      </c>
      <c r="J88" s="8">
        <v>7.5</v>
      </c>
      <c r="K88" s="8">
        <v>10.0</v>
      </c>
      <c r="L88" s="8">
        <v>5.0</v>
      </c>
      <c r="M88" s="6">
        <f t="shared" si="1"/>
        <v>7.5</v>
      </c>
      <c r="N88" s="9">
        <f t="shared" si="2"/>
        <v>5</v>
      </c>
      <c r="O88" s="8">
        <v>0.0</v>
      </c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8" t="s">
        <v>139</v>
      </c>
      <c r="B89" s="11">
        <v>46086.0</v>
      </c>
      <c r="C89" s="8" t="s">
        <v>24</v>
      </c>
      <c r="D89" s="8" t="s">
        <v>109</v>
      </c>
      <c r="E89" s="8" t="s">
        <v>118</v>
      </c>
      <c r="F89" s="8">
        <v>19.0</v>
      </c>
      <c r="G89" s="8">
        <v>19.5</v>
      </c>
      <c r="H89" s="8" t="s">
        <v>60</v>
      </c>
      <c r="I89" s="8">
        <v>4.0</v>
      </c>
      <c r="J89" s="8">
        <v>19.5</v>
      </c>
      <c r="K89" s="8">
        <v>20.0</v>
      </c>
      <c r="L89" s="8">
        <v>19.0</v>
      </c>
      <c r="M89" s="6">
        <f t="shared" si="1"/>
        <v>19.5</v>
      </c>
      <c r="N89" s="9">
        <f t="shared" si="2"/>
        <v>1</v>
      </c>
      <c r="O89" s="8">
        <v>0.0</v>
      </c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6" t="s">
        <v>140</v>
      </c>
      <c r="B90" s="7">
        <v>46086.0</v>
      </c>
      <c r="C90" s="6" t="s">
        <v>18</v>
      </c>
      <c r="D90" s="6" t="s">
        <v>109</v>
      </c>
      <c r="E90" s="6" t="s">
        <v>118</v>
      </c>
      <c r="F90" s="6">
        <v>19.0</v>
      </c>
      <c r="G90" s="6">
        <v>19.5</v>
      </c>
      <c r="H90" s="6"/>
      <c r="I90" s="6"/>
      <c r="J90" s="8">
        <v>19.5</v>
      </c>
      <c r="K90" s="6">
        <v>20.0</v>
      </c>
      <c r="L90" s="6">
        <v>19.0</v>
      </c>
      <c r="M90" s="6">
        <f t="shared" si="1"/>
        <v>19.5</v>
      </c>
      <c r="N90" s="9">
        <f t="shared" si="2"/>
        <v>1</v>
      </c>
      <c r="O90" s="6">
        <v>0.0</v>
      </c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  <row r="91">
      <c r="A91" s="8" t="s">
        <v>141</v>
      </c>
      <c r="B91" s="11">
        <v>46089.0</v>
      </c>
      <c r="C91" s="8" t="s">
        <v>24</v>
      </c>
      <c r="D91" s="8" t="s">
        <v>109</v>
      </c>
      <c r="E91" s="8" t="s">
        <v>110</v>
      </c>
      <c r="F91" s="8">
        <v>22.0</v>
      </c>
      <c r="G91" s="8">
        <v>51.0</v>
      </c>
      <c r="H91" s="8"/>
      <c r="I91" s="8">
        <v>6.0</v>
      </c>
      <c r="J91" s="8">
        <v>51.0</v>
      </c>
      <c r="K91" s="8">
        <v>51.0</v>
      </c>
      <c r="L91" s="8">
        <v>51.0</v>
      </c>
      <c r="M91" s="6">
        <f t="shared" si="1"/>
        <v>51</v>
      </c>
      <c r="N91" s="9">
        <f t="shared" si="2"/>
        <v>0</v>
      </c>
      <c r="O91" s="8">
        <v>0.0</v>
      </c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</row>
    <row r="92">
      <c r="A92" s="8" t="s">
        <v>142</v>
      </c>
      <c r="B92" s="11">
        <v>46089.0</v>
      </c>
      <c r="C92" s="8" t="s">
        <v>24</v>
      </c>
      <c r="D92" s="8" t="s">
        <v>109</v>
      </c>
      <c r="E92" s="8" t="s">
        <v>110</v>
      </c>
      <c r="F92" s="8">
        <v>22.0</v>
      </c>
      <c r="G92" s="8">
        <v>65.0</v>
      </c>
      <c r="H92" s="8"/>
      <c r="I92" s="8">
        <v>6.0</v>
      </c>
      <c r="J92" s="8">
        <v>65.0</v>
      </c>
      <c r="K92" s="8">
        <v>64.0</v>
      </c>
      <c r="L92" s="8">
        <v>66.0</v>
      </c>
      <c r="M92" s="6">
        <f t="shared" si="1"/>
        <v>65</v>
      </c>
      <c r="N92" s="9">
        <f t="shared" si="2"/>
        <v>2</v>
      </c>
      <c r="O92" s="8">
        <v>0.0</v>
      </c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</row>
    <row r="93">
      <c r="A93" s="6" t="s">
        <v>143</v>
      </c>
      <c r="B93" s="7">
        <v>46089.0</v>
      </c>
      <c r="C93" s="6" t="s">
        <v>18</v>
      </c>
      <c r="D93" s="6" t="s">
        <v>109</v>
      </c>
      <c r="E93" s="6" t="s">
        <v>118</v>
      </c>
      <c r="F93" s="6">
        <v>22.0</v>
      </c>
      <c r="G93" s="6">
        <v>65.0</v>
      </c>
      <c r="H93" s="6"/>
      <c r="I93" s="6"/>
      <c r="J93" s="8">
        <v>65.0</v>
      </c>
      <c r="K93" s="6">
        <v>64.0</v>
      </c>
      <c r="L93" s="6">
        <v>66.0</v>
      </c>
      <c r="M93" s="6">
        <f t="shared" si="1"/>
        <v>65</v>
      </c>
      <c r="N93" s="9">
        <f t="shared" si="2"/>
        <v>2</v>
      </c>
      <c r="O93" s="6">
        <v>0.0</v>
      </c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</row>
    <row r="94">
      <c r="A94" s="6" t="s">
        <v>144</v>
      </c>
      <c r="B94" s="7">
        <v>46102.0</v>
      </c>
      <c r="C94" s="6" t="s">
        <v>18</v>
      </c>
      <c r="D94" s="6" t="s">
        <v>109</v>
      </c>
      <c r="E94" s="6" t="s">
        <v>110</v>
      </c>
      <c r="F94" s="6">
        <v>19.0</v>
      </c>
      <c r="G94" s="14">
        <v>8.0</v>
      </c>
      <c r="H94" s="6"/>
      <c r="I94" s="6"/>
      <c r="J94" s="6"/>
      <c r="K94" s="6">
        <v>8.0</v>
      </c>
      <c r="L94" s="6">
        <v>24.0</v>
      </c>
      <c r="M94" s="6">
        <f t="shared" si="1"/>
        <v>16</v>
      </c>
      <c r="N94" s="15">
        <f t="shared" si="2"/>
        <v>16</v>
      </c>
      <c r="O94" s="6">
        <v>0.0</v>
      </c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</row>
    <row r="95">
      <c r="A95" s="6" t="s">
        <v>145</v>
      </c>
      <c r="B95" s="7">
        <v>46102.0</v>
      </c>
      <c r="C95" s="6" t="s">
        <v>18</v>
      </c>
      <c r="D95" s="6" t="s">
        <v>109</v>
      </c>
      <c r="E95" s="6" t="s">
        <v>110</v>
      </c>
      <c r="F95" s="6">
        <v>19.0</v>
      </c>
      <c r="G95" s="14">
        <v>8.0</v>
      </c>
      <c r="H95" s="6"/>
      <c r="I95" s="6"/>
      <c r="J95" s="6"/>
      <c r="K95" s="6">
        <v>8.0</v>
      </c>
      <c r="L95" s="6">
        <v>24.0</v>
      </c>
      <c r="M95" s="6">
        <f t="shared" si="1"/>
        <v>16</v>
      </c>
      <c r="N95" s="15">
        <f t="shared" si="2"/>
        <v>16</v>
      </c>
      <c r="O95" s="6">
        <v>0.0</v>
      </c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</row>
    <row r="96">
      <c r="A96" s="8" t="s">
        <v>146</v>
      </c>
      <c r="B96" s="11">
        <v>46102.0</v>
      </c>
      <c r="C96" s="8" t="s">
        <v>24</v>
      </c>
      <c r="D96" s="8" t="s">
        <v>109</v>
      </c>
      <c r="E96" s="8" t="s">
        <v>110</v>
      </c>
      <c r="F96" s="8">
        <v>19.0</v>
      </c>
      <c r="G96" s="14">
        <v>8.0</v>
      </c>
      <c r="H96" s="8"/>
      <c r="I96" s="8">
        <v>4.0</v>
      </c>
      <c r="J96" s="14" t="s">
        <v>36</v>
      </c>
      <c r="K96" s="8">
        <v>8.0</v>
      </c>
      <c r="L96" s="8">
        <v>24.0</v>
      </c>
      <c r="M96" s="6">
        <f t="shared" si="1"/>
        <v>16</v>
      </c>
      <c r="N96" s="15">
        <f t="shared" si="2"/>
        <v>16</v>
      </c>
      <c r="O96" s="8">
        <v>0.0</v>
      </c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</row>
    <row r="97">
      <c r="A97" s="8" t="s">
        <v>147</v>
      </c>
      <c r="B97" s="11">
        <v>46102.0</v>
      </c>
      <c r="C97" s="8" t="s">
        <v>24</v>
      </c>
      <c r="D97" s="8" t="s">
        <v>109</v>
      </c>
      <c r="E97" s="8" t="s">
        <v>118</v>
      </c>
      <c r="F97" s="8">
        <v>19.0</v>
      </c>
      <c r="G97" s="8">
        <v>9.0</v>
      </c>
      <c r="H97" s="8" t="s">
        <v>40</v>
      </c>
      <c r="I97" s="8">
        <v>4.0</v>
      </c>
      <c r="J97" s="8">
        <v>9.0</v>
      </c>
      <c r="K97" s="8">
        <v>9.0</v>
      </c>
      <c r="L97" s="8">
        <v>9.0</v>
      </c>
      <c r="M97" s="6">
        <f t="shared" si="1"/>
        <v>9</v>
      </c>
      <c r="N97" s="9">
        <f t="shared" si="2"/>
        <v>0</v>
      </c>
      <c r="O97" s="8">
        <v>0.0</v>
      </c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</row>
    <row r="98">
      <c r="A98" s="6" t="s">
        <v>148</v>
      </c>
      <c r="B98" s="7">
        <v>46102.0</v>
      </c>
      <c r="C98" s="6" t="s">
        <v>18</v>
      </c>
      <c r="D98" s="6" t="s">
        <v>109</v>
      </c>
      <c r="E98" s="6" t="s">
        <v>118</v>
      </c>
      <c r="F98" s="6">
        <v>19.0</v>
      </c>
      <c r="G98" s="6">
        <v>9.0</v>
      </c>
      <c r="H98" s="6"/>
      <c r="I98" s="6"/>
      <c r="J98" s="8">
        <v>9.0</v>
      </c>
      <c r="K98" s="6">
        <v>9.0</v>
      </c>
      <c r="L98" s="6">
        <v>9.0</v>
      </c>
      <c r="M98" s="6">
        <f t="shared" si="1"/>
        <v>9</v>
      </c>
      <c r="N98" s="9">
        <f t="shared" si="2"/>
        <v>0</v>
      </c>
      <c r="O98" s="6">
        <v>0.0</v>
      </c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</row>
    <row r="99">
      <c r="A99" s="6" t="s">
        <v>149</v>
      </c>
      <c r="B99" s="7">
        <v>46105.0</v>
      </c>
      <c r="C99" s="6" t="s">
        <v>18</v>
      </c>
      <c r="D99" s="6" t="s">
        <v>109</v>
      </c>
      <c r="E99" s="6" t="s">
        <v>110</v>
      </c>
      <c r="F99" s="6">
        <v>22.0</v>
      </c>
      <c r="G99" s="14">
        <v>40.0</v>
      </c>
      <c r="H99" s="6"/>
      <c r="I99" s="6"/>
      <c r="J99" s="6"/>
      <c r="K99" s="6">
        <v>40.0</v>
      </c>
      <c r="L99" s="6">
        <v>50.0</v>
      </c>
      <c r="M99" s="6">
        <f t="shared" si="1"/>
        <v>45</v>
      </c>
      <c r="N99" s="15">
        <f t="shared" si="2"/>
        <v>10</v>
      </c>
      <c r="O99" s="6">
        <v>0.0</v>
      </c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</row>
    <row r="100">
      <c r="A100" s="6" t="s">
        <v>150</v>
      </c>
      <c r="B100" s="7">
        <v>46105.0</v>
      </c>
      <c r="C100" s="6" t="s">
        <v>18</v>
      </c>
      <c r="D100" s="6" t="s">
        <v>109</v>
      </c>
      <c r="E100" s="6" t="s">
        <v>110</v>
      </c>
      <c r="F100" s="6">
        <v>22.0</v>
      </c>
      <c r="G100" s="14">
        <v>40.0</v>
      </c>
      <c r="H100" s="6"/>
      <c r="I100" s="6"/>
      <c r="J100" s="6"/>
      <c r="K100" s="6">
        <v>40.0</v>
      </c>
      <c r="L100" s="6">
        <v>50.0</v>
      </c>
      <c r="M100" s="6">
        <f t="shared" si="1"/>
        <v>45</v>
      </c>
      <c r="N100" s="15">
        <f t="shared" si="2"/>
        <v>10</v>
      </c>
      <c r="O100" s="6">
        <v>0.0</v>
      </c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</row>
    <row r="101">
      <c r="A101" s="8" t="s">
        <v>151</v>
      </c>
      <c r="B101" s="11">
        <v>46105.0</v>
      </c>
      <c r="C101" s="8" t="s">
        <v>24</v>
      </c>
      <c r="D101" s="8" t="s">
        <v>109</v>
      </c>
      <c r="E101" s="8" t="s">
        <v>110</v>
      </c>
      <c r="F101" s="8">
        <v>22.0</v>
      </c>
      <c r="G101" s="14">
        <v>40.0</v>
      </c>
      <c r="H101" s="8"/>
      <c r="I101" s="8">
        <v>6.0</v>
      </c>
      <c r="J101" s="14" t="s">
        <v>36</v>
      </c>
      <c r="K101" s="8">
        <v>40.0</v>
      </c>
      <c r="L101" s="8">
        <v>50.0</v>
      </c>
      <c r="M101" s="6">
        <f t="shared" si="1"/>
        <v>45</v>
      </c>
      <c r="N101" s="15">
        <f t="shared" si="2"/>
        <v>10</v>
      </c>
      <c r="O101" s="8">
        <v>18.59</v>
      </c>
      <c r="P101" s="13"/>
      <c r="Q101" s="8" t="s">
        <v>152</v>
      </c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</row>
    <row r="102">
      <c r="A102" s="8" t="s">
        <v>153</v>
      </c>
      <c r="B102" s="11">
        <v>46105.0</v>
      </c>
      <c r="C102" s="8" t="s">
        <v>24</v>
      </c>
      <c r="D102" s="8" t="s">
        <v>109</v>
      </c>
      <c r="E102" s="8" t="s">
        <v>118</v>
      </c>
      <c r="F102" s="8">
        <v>22.0</v>
      </c>
      <c r="G102" s="8">
        <v>42.0</v>
      </c>
      <c r="H102" s="8"/>
      <c r="I102" s="8">
        <v>6.0</v>
      </c>
      <c r="J102" s="8">
        <v>42.0</v>
      </c>
      <c r="K102" s="8">
        <v>42.0</v>
      </c>
      <c r="L102" s="8">
        <v>42.0</v>
      </c>
      <c r="M102" s="6">
        <f t="shared" si="1"/>
        <v>42</v>
      </c>
      <c r="N102" s="9">
        <f t="shared" si="2"/>
        <v>0</v>
      </c>
      <c r="O102" s="8">
        <v>0.0</v>
      </c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</row>
    <row r="103">
      <c r="A103" s="6" t="s">
        <v>154</v>
      </c>
      <c r="B103" s="7">
        <v>46105.0</v>
      </c>
      <c r="C103" s="6" t="s">
        <v>18</v>
      </c>
      <c r="D103" s="6" t="s">
        <v>109</v>
      </c>
      <c r="E103" s="6" t="s">
        <v>118</v>
      </c>
      <c r="F103" s="6">
        <v>22.0</v>
      </c>
      <c r="G103" s="6">
        <v>42.0</v>
      </c>
      <c r="H103" s="6"/>
      <c r="I103" s="6"/>
      <c r="J103" s="8">
        <v>42.0</v>
      </c>
      <c r="K103" s="6">
        <v>42.0</v>
      </c>
      <c r="L103" s="6">
        <v>42.0</v>
      </c>
      <c r="M103" s="6">
        <f t="shared" si="1"/>
        <v>42</v>
      </c>
      <c r="N103" s="9">
        <f t="shared" si="2"/>
        <v>0</v>
      </c>
      <c r="O103" s="6">
        <v>0.0</v>
      </c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</row>
    <row r="104">
      <c r="A104" s="8" t="s">
        <v>155</v>
      </c>
      <c r="B104" s="11">
        <v>46108.0</v>
      </c>
      <c r="C104" s="8" t="s">
        <v>24</v>
      </c>
      <c r="D104" s="8" t="s">
        <v>109</v>
      </c>
      <c r="E104" s="8" t="s">
        <v>118</v>
      </c>
      <c r="F104" s="8">
        <v>19.0</v>
      </c>
      <c r="G104" s="8">
        <v>10.0</v>
      </c>
      <c r="H104" s="8" t="s">
        <v>60</v>
      </c>
      <c r="I104" s="8">
        <v>3.0</v>
      </c>
      <c r="J104" s="8">
        <v>10.0</v>
      </c>
      <c r="K104" s="8">
        <v>10.0</v>
      </c>
      <c r="L104" s="8">
        <v>10.0</v>
      </c>
      <c r="M104" s="6">
        <f t="shared" si="1"/>
        <v>10</v>
      </c>
      <c r="N104" s="9">
        <f t="shared" si="2"/>
        <v>0</v>
      </c>
      <c r="O104" s="8">
        <v>0.0</v>
      </c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</row>
    <row r="105">
      <c r="A105" s="8" t="s">
        <v>156</v>
      </c>
      <c r="B105" s="11">
        <v>46108.0</v>
      </c>
      <c r="C105" s="8" t="s">
        <v>24</v>
      </c>
      <c r="D105" s="8" t="s">
        <v>109</v>
      </c>
      <c r="E105" s="8" t="s">
        <v>118</v>
      </c>
      <c r="F105" s="8">
        <v>19.0</v>
      </c>
      <c r="G105" s="8">
        <v>8.0</v>
      </c>
      <c r="H105" s="8" t="s">
        <v>60</v>
      </c>
      <c r="I105" s="8">
        <v>3.0</v>
      </c>
      <c r="J105" s="8">
        <v>8.0</v>
      </c>
      <c r="K105" s="8">
        <v>8.0</v>
      </c>
      <c r="L105" s="8">
        <v>8.0</v>
      </c>
      <c r="M105" s="6">
        <f t="shared" si="1"/>
        <v>8</v>
      </c>
      <c r="N105" s="9">
        <f t="shared" si="2"/>
        <v>0</v>
      </c>
      <c r="O105" s="8">
        <v>0.0</v>
      </c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</row>
    <row r="106">
      <c r="A106" s="8" t="s">
        <v>157</v>
      </c>
      <c r="B106" s="11">
        <v>46108.0</v>
      </c>
      <c r="C106" s="8" t="s">
        <v>24</v>
      </c>
      <c r="D106" s="8" t="s">
        <v>109</v>
      </c>
      <c r="E106" s="8" t="s">
        <v>118</v>
      </c>
      <c r="F106" s="8">
        <v>19.0</v>
      </c>
      <c r="G106" s="8">
        <v>10.0</v>
      </c>
      <c r="H106" s="8" t="s">
        <v>40</v>
      </c>
      <c r="I106" s="8">
        <v>3.0</v>
      </c>
      <c r="J106" s="8">
        <v>10.0</v>
      </c>
      <c r="K106" s="8">
        <v>10.0</v>
      </c>
      <c r="L106" s="8">
        <v>10.0</v>
      </c>
      <c r="M106" s="6">
        <f t="shared" si="1"/>
        <v>10</v>
      </c>
      <c r="N106" s="9">
        <f t="shared" si="2"/>
        <v>0</v>
      </c>
      <c r="O106" s="8">
        <v>0.0</v>
      </c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</row>
    <row r="107">
      <c r="A107" s="17" t="s">
        <v>158</v>
      </c>
      <c r="B107" s="11">
        <v>46108.0</v>
      </c>
      <c r="C107" s="8" t="s">
        <v>24</v>
      </c>
      <c r="D107" s="8" t="s">
        <v>109</v>
      </c>
      <c r="E107" s="8" t="s">
        <v>110</v>
      </c>
      <c r="F107" s="8">
        <v>19.0</v>
      </c>
      <c r="G107" s="17">
        <v>5.0</v>
      </c>
      <c r="H107" s="17"/>
      <c r="I107" s="17">
        <v>4.0</v>
      </c>
      <c r="J107" s="17">
        <v>5.0</v>
      </c>
      <c r="K107" s="17">
        <v>5.0</v>
      </c>
      <c r="L107" s="8">
        <v>5.0</v>
      </c>
      <c r="M107" s="6">
        <f t="shared" si="1"/>
        <v>5</v>
      </c>
      <c r="N107" s="9">
        <f t="shared" si="2"/>
        <v>0</v>
      </c>
      <c r="O107" s="8">
        <v>0.0</v>
      </c>
      <c r="P107" s="18"/>
      <c r="Q107" s="19"/>
      <c r="R107" s="19" t="s">
        <v>159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</row>
    <row r="108">
      <c r="A108" s="17" t="s">
        <v>160</v>
      </c>
      <c r="B108" s="11">
        <v>46108.0</v>
      </c>
      <c r="C108" s="8" t="s">
        <v>24</v>
      </c>
      <c r="D108" s="8" t="s">
        <v>109</v>
      </c>
      <c r="E108" s="8" t="s">
        <v>110</v>
      </c>
      <c r="F108" s="8">
        <v>19.0</v>
      </c>
      <c r="G108" s="17">
        <v>11.5</v>
      </c>
      <c r="H108" s="17"/>
      <c r="I108" s="17">
        <v>3.0</v>
      </c>
      <c r="J108" s="17">
        <v>11.5</v>
      </c>
      <c r="K108" s="17">
        <v>11.0</v>
      </c>
      <c r="L108" s="17">
        <v>12.0</v>
      </c>
      <c r="M108" s="6">
        <f t="shared" si="1"/>
        <v>11.5</v>
      </c>
      <c r="N108" s="9">
        <f t="shared" si="2"/>
        <v>1</v>
      </c>
      <c r="O108" s="17">
        <v>0.0</v>
      </c>
      <c r="P108" s="18"/>
      <c r="Q108" s="19"/>
      <c r="R108" s="19" t="s">
        <v>159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</row>
    <row r="109">
      <c r="A109" s="17" t="s">
        <v>161</v>
      </c>
      <c r="B109" s="11">
        <v>46108.0</v>
      </c>
      <c r="C109" s="8" t="s">
        <v>24</v>
      </c>
      <c r="D109" s="8" t="s">
        <v>109</v>
      </c>
      <c r="E109" s="8" t="s">
        <v>110</v>
      </c>
      <c r="F109" s="8">
        <v>19.0</v>
      </c>
      <c r="G109" s="17">
        <v>15.0</v>
      </c>
      <c r="H109" s="17"/>
      <c r="I109" s="17">
        <v>3.0</v>
      </c>
      <c r="J109" s="17">
        <v>15.0</v>
      </c>
      <c r="K109" s="17">
        <v>15.0</v>
      </c>
      <c r="L109" s="17">
        <v>15.0</v>
      </c>
      <c r="M109" s="6">
        <f t="shared" si="1"/>
        <v>15</v>
      </c>
      <c r="N109" s="9">
        <f t="shared" si="2"/>
        <v>0</v>
      </c>
      <c r="O109" s="17">
        <v>0.0</v>
      </c>
      <c r="P109" s="18"/>
      <c r="Q109" s="19"/>
      <c r="R109" s="19" t="s">
        <v>159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</row>
    <row r="110">
      <c r="A110" s="8" t="s">
        <v>162</v>
      </c>
      <c r="B110" s="20">
        <v>46111.0</v>
      </c>
      <c r="C110" s="8" t="s">
        <v>24</v>
      </c>
      <c r="D110" s="8" t="s">
        <v>109</v>
      </c>
      <c r="E110" s="8" t="s">
        <v>118</v>
      </c>
      <c r="F110" s="8">
        <v>22.0</v>
      </c>
      <c r="G110" s="17">
        <v>41.0</v>
      </c>
      <c r="H110" s="8"/>
      <c r="I110" s="17">
        <v>7.0</v>
      </c>
      <c r="J110" s="17">
        <v>41.0</v>
      </c>
      <c r="K110" s="17">
        <v>41.0</v>
      </c>
      <c r="L110" s="17">
        <v>41.0</v>
      </c>
      <c r="M110" s="6">
        <f t="shared" si="1"/>
        <v>41</v>
      </c>
      <c r="N110" s="9">
        <f t="shared" si="2"/>
        <v>0</v>
      </c>
      <c r="O110" s="17">
        <v>0.0</v>
      </c>
      <c r="P110" s="17" t="s">
        <v>163</v>
      </c>
      <c r="Q110" s="19"/>
      <c r="R110" s="19" t="s">
        <v>159</v>
      </c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</row>
    <row r="111">
      <c r="A111" s="8" t="s">
        <v>164</v>
      </c>
      <c r="B111" s="20">
        <v>46111.0</v>
      </c>
      <c r="C111" s="8" t="s">
        <v>24</v>
      </c>
      <c r="D111" s="8" t="s">
        <v>109</v>
      </c>
      <c r="E111" s="8" t="s">
        <v>118</v>
      </c>
      <c r="F111" s="21">
        <v>22.0</v>
      </c>
      <c r="G111" s="17">
        <v>63.0</v>
      </c>
      <c r="H111" s="17"/>
      <c r="I111" s="17">
        <v>6.0</v>
      </c>
      <c r="J111" s="17">
        <v>63.0</v>
      </c>
      <c r="K111" s="17">
        <v>63.0</v>
      </c>
      <c r="L111" s="17">
        <v>63.0</v>
      </c>
      <c r="M111" s="6">
        <f t="shared" si="1"/>
        <v>63</v>
      </c>
      <c r="N111" s="9">
        <f t="shared" si="2"/>
        <v>0</v>
      </c>
      <c r="O111" s="17">
        <v>0.0</v>
      </c>
      <c r="P111" s="18"/>
      <c r="Q111" s="19"/>
      <c r="R111" s="19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</row>
    <row r="112">
      <c r="A112" s="8" t="s">
        <v>165</v>
      </c>
      <c r="B112" s="20">
        <v>46111.0</v>
      </c>
      <c r="C112" s="8" t="s">
        <v>24</v>
      </c>
      <c r="D112" s="8" t="s">
        <v>109</v>
      </c>
      <c r="E112" s="8" t="s">
        <v>110</v>
      </c>
      <c r="F112" s="21">
        <v>22.0</v>
      </c>
      <c r="G112" s="17">
        <v>46.0</v>
      </c>
      <c r="H112" s="17"/>
      <c r="I112" s="17">
        <v>6.0</v>
      </c>
      <c r="J112" s="17">
        <v>46.0</v>
      </c>
      <c r="K112" s="17">
        <v>46.0</v>
      </c>
      <c r="L112" s="17">
        <v>46.0</v>
      </c>
      <c r="M112" s="6">
        <f t="shared" si="1"/>
        <v>46</v>
      </c>
      <c r="N112" s="9">
        <f t="shared" si="2"/>
        <v>0</v>
      </c>
      <c r="O112" s="17">
        <v>0.0</v>
      </c>
      <c r="P112" s="18"/>
      <c r="Q112" s="19"/>
      <c r="R112" s="19" t="s">
        <v>159</v>
      </c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</row>
    <row r="113">
      <c r="A113" s="8" t="s">
        <v>166</v>
      </c>
      <c r="B113" s="20">
        <v>46111.0</v>
      </c>
      <c r="C113" s="8" t="s">
        <v>24</v>
      </c>
      <c r="D113" s="8" t="s">
        <v>109</v>
      </c>
      <c r="E113" s="8" t="s">
        <v>110</v>
      </c>
      <c r="F113" s="21">
        <v>22.0</v>
      </c>
      <c r="G113" s="17">
        <v>45.0</v>
      </c>
      <c r="H113" s="17"/>
      <c r="I113" s="17">
        <v>6.0</v>
      </c>
      <c r="J113" s="17">
        <v>45.0</v>
      </c>
      <c r="K113" s="17">
        <v>45.0</v>
      </c>
      <c r="L113" s="17">
        <v>45.0</v>
      </c>
      <c r="M113" s="6">
        <f t="shared" si="1"/>
        <v>45</v>
      </c>
      <c r="N113" s="9">
        <f t="shared" si="2"/>
        <v>0</v>
      </c>
      <c r="O113" s="17">
        <v>0.0</v>
      </c>
      <c r="P113" s="18"/>
      <c r="Q113" s="17"/>
      <c r="R113" s="19" t="s">
        <v>167</v>
      </c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</row>
    <row r="114">
      <c r="A114" s="8" t="s">
        <v>168</v>
      </c>
      <c r="B114" s="20">
        <v>46111.0</v>
      </c>
      <c r="C114" s="8" t="s">
        <v>24</v>
      </c>
      <c r="D114" s="8" t="s">
        <v>109</v>
      </c>
      <c r="E114" s="8" t="s">
        <v>110</v>
      </c>
      <c r="F114" s="21">
        <v>22.0</v>
      </c>
      <c r="G114" s="17">
        <v>40.0</v>
      </c>
      <c r="H114" s="17"/>
      <c r="I114" s="17">
        <v>6.0</v>
      </c>
      <c r="J114" s="17">
        <v>40.0</v>
      </c>
      <c r="K114" s="17">
        <v>40.0</v>
      </c>
      <c r="L114" s="17">
        <v>40.0</v>
      </c>
      <c r="M114" s="6">
        <f t="shared" si="1"/>
        <v>40</v>
      </c>
      <c r="N114" s="9">
        <f t="shared" si="2"/>
        <v>0</v>
      </c>
      <c r="O114" s="17">
        <v>0.0</v>
      </c>
      <c r="P114" s="19"/>
      <c r="Q114" s="19"/>
      <c r="R114" s="19" t="s">
        <v>167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</row>
    <row r="115">
      <c r="A115" s="22" t="s">
        <v>169</v>
      </c>
      <c r="B115" s="23">
        <v>46122.0</v>
      </c>
      <c r="C115" s="22" t="s">
        <v>18</v>
      </c>
      <c r="D115" s="6" t="s">
        <v>109</v>
      </c>
      <c r="E115" s="6" t="s">
        <v>118</v>
      </c>
      <c r="F115" s="24">
        <v>19.0</v>
      </c>
      <c r="G115" s="25">
        <v>20.0</v>
      </c>
      <c r="H115" s="25"/>
      <c r="I115" s="25"/>
      <c r="J115" s="26"/>
      <c r="K115" s="25">
        <v>20.0</v>
      </c>
      <c r="L115" s="25">
        <v>15.0</v>
      </c>
      <c r="M115" s="6">
        <f t="shared" si="1"/>
        <v>17.5</v>
      </c>
      <c r="N115" s="9">
        <f t="shared" si="2"/>
        <v>5</v>
      </c>
      <c r="O115" s="26">
        <v>0.0</v>
      </c>
      <c r="P115" s="27"/>
      <c r="Q115" s="28"/>
      <c r="R115" s="28" t="s">
        <v>159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</row>
    <row r="116">
      <c r="A116" s="22" t="s">
        <v>170</v>
      </c>
      <c r="B116" s="23">
        <v>46122.0</v>
      </c>
      <c r="C116" s="25" t="s">
        <v>18</v>
      </c>
      <c r="D116" s="6" t="s">
        <v>109</v>
      </c>
      <c r="E116" s="6" t="s">
        <v>118</v>
      </c>
      <c r="F116" s="24">
        <v>19.0</v>
      </c>
      <c r="G116" s="25">
        <v>20.0</v>
      </c>
      <c r="H116" s="25"/>
      <c r="I116" s="25"/>
      <c r="J116" s="26"/>
      <c r="K116" s="25">
        <v>20.0</v>
      </c>
      <c r="L116" s="25">
        <v>15.0</v>
      </c>
      <c r="M116" s="6">
        <f t="shared" si="1"/>
        <v>17.5</v>
      </c>
      <c r="N116" s="9">
        <f t="shared" si="2"/>
        <v>5</v>
      </c>
      <c r="O116" s="26">
        <v>0.0</v>
      </c>
      <c r="P116" s="27"/>
      <c r="Q116" s="28"/>
      <c r="R116" s="28" t="s">
        <v>159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</row>
    <row r="117">
      <c r="A117" s="22" t="s">
        <v>171</v>
      </c>
      <c r="B117" s="23">
        <v>46122.0</v>
      </c>
      <c r="C117" s="25" t="s">
        <v>18</v>
      </c>
      <c r="D117" s="6" t="s">
        <v>109</v>
      </c>
      <c r="E117" s="6" t="s">
        <v>118</v>
      </c>
      <c r="F117" s="24">
        <v>19.0</v>
      </c>
      <c r="G117" s="25">
        <v>20.0</v>
      </c>
      <c r="H117" s="25"/>
      <c r="I117" s="25"/>
      <c r="J117" s="26"/>
      <c r="K117" s="25">
        <v>20.0</v>
      </c>
      <c r="L117" s="25">
        <v>15.0</v>
      </c>
      <c r="M117" s="6">
        <f t="shared" si="1"/>
        <v>17.5</v>
      </c>
      <c r="N117" s="9">
        <f t="shared" si="2"/>
        <v>5</v>
      </c>
      <c r="O117" s="26">
        <v>0.0</v>
      </c>
      <c r="P117" s="27"/>
      <c r="Q117" s="28"/>
      <c r="R117" s="28" t="s">
        <v>159</v>
      </c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</row>
    <row r="118">
      <c r="A118" s="22" t="s">
        <v>172</v>
      </c>
      <c r="B118" s="29">
        <v>46122.0</v>
      </c>
      <c r="C118" s="17" t="s">
        <v>24</v>
      </c>
      <c r="D118" s="8" t="s">
        <v>109</v>
      </c>
      <c r="E118" s="8" t="s">
        <v>118</v>
      </c>
      <c r="F118" s="21">
        <v>19.0</v>
      </c>
      <c r="G118" s="25">
        <v>27.0</v>
      </c>
      <c r="H118" s="17" t="s">
        <v>60</v>
      </c>
      <c r="I118" s="25">
        <v>4.0</v>
      </c>
      <c r="J118" s="6">
        <v>27.0</v>
      </c>
      <c r="K118" s="17">
        <v>27.0</v>
      </c>
      <c r="L118" s="25">
        <v>27.0</v>
      </c>
      <c r="M118" s="6">
        <f t="shared" si="1"/>
        <v>27</v>
      </c>
      <c r="N118" s="9">
        <f t="shared" si="2"/>
        <v>0</v>
      </c>
      <c r="O118" s="26">
        <v>0.0</v>
      </c>
      <c r="P118" s="18"/>
      <c r="Q118" s="19"/>
      <c r="R118" s="19" t="s">
        <v>159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</row>
    <row r="119">
      <c r="A119" s="22" t="s">
        <v>173</v>
      </c>
      <c r="B119" s="23">
        <v>46122.0</v>
      </c>
      <c r="C119" s="6" t="s">
        <v>18</v>
      </c>
      <c r="D119" s="6" t="s">
        <v>109</v>
      </c>
      <c r="E119" s="6" t="s">
        <v>118</v>
      </c>
      <c r="F119" s="24">
        <v>19.0</v>
      </c>
      <c r="G119" s="6">
        <v>29.0</v>
      </c>
      <c r="H119" s="6"/>
      <c r="I119" s="6"/>
      <c r="J119" s="25">
        <v>29.0</v>
      </c>
      <c r="K119" s="6">
        <v>29.0</v>
      </c>
      <c r="L119" s="6">
        <v>29.0</v>
      </c>
      <c r="M119" s="6">
        <f t="shared" si="1"/>
        <v>29</v>
      </c>
      <c r="N119" s="9">
        <f t="shared" si="2"/>
        <v>0</v>
      </c>
      <c r="O119" s="26">
        <v>0.0</v>
      </c>
      <c r="P119" s="10"/>
      <c r="Q119" s="6" t="s">
        <v>174</v>
      </c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</row>
    <row r="120">
      <c r="A120" s="22" t="s">
        <v>175</v>
      </c>
      <c r="B120" s="23">
        <v>46122.0</v>
      </c>
      <c r="C120" s="6" t="s">
        <v>18</v>
      </c>
      <c r="D120" s="6" t="s">
        <v>109</v>
      </c>
      <c r="E120" s="6" t="s">
        <v>110</v>
      </c>
      <c r="F120" s="24">
        <v>19.0</v>
      </c>
      <c r="G120" s="6">
        <v>29.0</v>
      </c>
      <c r="H120" s="6"/>
      <c r="I120" s="6"/>
      <c r="J120" s="25">
        <v>29.0</v>
      </c>
      <c r="K120" s="6">
        <v>29.0</v>
      </c>
      <c r="L120" s="6">
        <v>29.0</v>
      </c>
      <c r="M120" s="6">
        <f t="shared" si="1"/>
        <v>29</v>
      </c>
      <c r="N120" s="9">
        <f t="shared" si="2"/>
        <v>0</v>
      </c>
      <c r="O120" s="26">
        <v>0.0</v>
      </c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</row>
    <row r="121">
      <c r="A121" s="22" t="s">
        <v>176</v>
      </c>
      <c r="B121" s="29">
        <v>46122.0</v>
      </c>
      <c r="C121" s="8" t="s">
        <v>24</v>
      </c>
      <c r="D121" s="8" t="s">
        <v>109</v>
      </c>
      <c r="E121" s="8" t="s">
        <v>110</v>
      </c>
      <c r="F121" s="21">
        <v>19.0</v>
      </c>
      <c r="G121" s="6">
        <v>29.0</v>
      </c>
      <c r="H121" s="8"/>
      <c r="I121" s="6">
        <v>3.0</v>
      </c>
      <c r="J121" s="6">
        <v>29.0</v>
      </c>
      <c r="K121" s="6">
        <v>29.0</v>
      </c>
      <c r="L121" s="6">
        <v>29.0</v>
      </c>
      <c r="M121" s="6">
        <f t="shared" si="1"/>
        <v>29</v>
      </c>
      <c r="N121" s="9">
        <f t="shared" si="2"/>
        <v>0</v>
      </c>
      <c r="O121" s="26">
        <v>0.0</v>
      </c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</row>
    <row r="122">
      <c r="A122" s="22" t="s">
        <v>177</v>
      </c>
      <c r="B122" s="7">
        <v>46125.0</v>
      </c>
      <c r="C122" s="6" t="s">
        <v>18</v>
      </c>
      <c r="D122" s="6" t="s">
        <v>109</v>
      </c>
      <c r="E122" s="6" t="s">
        <v>118</v>
      </c>
      <c r="F122" s="6">
        <v>22.0</v>
      </c>
      <c r="G122" s="6">
        <v>64.0</v>
      </c>
      <c r="H122" s="6"/>
      <c r="I122" s="6"/>
      <c r="J122" s="6">
        <v>64.0</v>
      </c>
      <c r="K122" s="6">
        <v>64.0</v>
      </c>
      <c r="L122" s="25">
        <v>64.0</v>
      </c>
      <c r="M122" s="6">
        <f t="shared" si="1"/>
        <v>64</v>
      </c>
      <c r="N122" s="9">
        <f t="shared" si="2"/>
        <v>0</v>
      </c>
      <c r="O122" s="26">
        <v>0.0</v>
      </c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</row>
    <row r="123">
      <c r="A123" s="22" t="s">
        <v>178</v>
      </c>
      <c r="B123" s="7">
        <v>46125.0</v>
      </c>
      <c r="C123" s="6" t="s">
        <v>18</v>
      </c>
      <c r="D123" s="6" t="s">
        <v>109</v>
      </c>
      <c r="E123" s="6" t="s">
        <v>118</v>
      </c>
      <c r="F123" s="6">
        <v>22.0</v>
      </c>
      <c r="G123" s="6">
        <v>64.0</v>
      </c>
      <c r="H123" s="6"/>
      <c r="I123" s="6"/>
      <c r="J123" s="6">
        <v>64.0</v>
      </c>
      <c r="K123" s="6">
        <v>64.0</v>
      </c>
      <c r="L123" s="25">
        <v>64.0</v>
      </c>
      <c r="M123" s="6">
        <f t="shared" si="1"/>
        <v>64</v>
      </c>
      <c r="N123" s="9">
        <f t="shared" si="2"/>
        <v>0</v>
      </c>
      <c r="O123" s="26">
        <v>0.0</v>
      </c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</row>
    <row r="124">
      <c r="A124" s="22" t="s">
        <v>179</v>
      </c>
      <c r="B124" s="7">
        <v>46125.0</v>
      </c>
      <c r="C124" s="6" t="s">
        <v>18</v>
      </c>
      <c r="D124" s="6" t="s">
        <v>109</v>
      </c>
      <c r="E124" s="6" t="s">
        <v>118</v>
      </c>
      <c r="F124" s="6">
        <v>22.0</v>
      </c>
      <c r="G124" s="6">
        <v>64.0</v>
      </c>
      <c r="H124" s="6"/>
      <c r="I124" s="6"/>
      <c r="J124" s="6">
        <v>64.0</v>
      </c>
      <c r="K124" s="6">
        <v>64.0</v>
      </c>
      <c r="L124" s="25">
        <v>64.0</v>
      </c>
      <c r="M124" s="6">
        <f t="shared" si="1"/>
        <v>64</v>
      </c>
      <c r="N124" s="9">
        <f t="shared" si="2"/>
        <v>0</v>
      </c>
      <c r="O124" s="26">
        <v>0.0</v>
      </c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</row>
    <row r="125">
      <c r="A125" s="22" t="s">
        <v>180</v>
      </c>
      <c r="B125" s="7">
        <v>46125.0</v>
      </c>
      <c r="C125" s="6" t="s">
        <v>18</v>
      </c>
      <c r="D125" s="6" t="s">
        <v>109</v>
      </c>
      <c r="E125" s="6" t="s">
        <v>118</v>
      </c>
      <c r="F125" s="6">
        <v>22.0</v>
      </c>
      <c r="G125" s="6">
        <v>64.0</v>
      </c>
      <c r="H125" s="6"/>
      <c r="I125" s="6"/>
      <c r="J125" s="6">
        <v>64.0</v>
      </c>
      <c r="K125" s="6">
        <v>64.0</v>
      </c>
      <c r="L125" s="25">
        <v>64.0</v>
      </c>
      <c r="M125" s="6">
        <f t="shared" si="1"/>
        <v>64</v>
      </c>
      <c r="N125" s="9">
        <f t="shared" si="2"/>
        <v>0</v>
      </c>
      <c r="O125" s="26">
        <v>0.0</v>
      </c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</row>
    <row r="126">
      <c r="A126" s="22" t="s">
        <v>181</v>
      </c>
      <c r="B126" s="7">
        <v>46125.0</v>
      </c>
      <c r="C126" s="6" t="s">
        <v>18</v>
      </c>
      <c r="D126" s="6" t="s">
        <v>109</v>
      </c>
      <c r="E126" s="6" t="s">
        <v>110</v>
      </c>
      <c r="F126" s="6">
        <v>22.0</v>
      </c>
      <c r="G126" s="6">
        <v>64.0</v>
      </c>
      <c r="H126" s="6"/>
      <c r="I126" s="6"/>
      <c r="J126" s="6">
        <v>64.0</v>
      </c>
      <c r="K126" s="6">
        <v>64.0</v>
      </c>
      <c r="L126" s="25">
        <v>64.0</v>
      </c>
      <c r="M126" s="6">
        <f t="shared" si="1"/>
        <v>64</v>
      </c>
      <c r="N126" s="9">
        <f t="shared" si="2"/>
        <v>0</v>
      </c>
      <c r="O126" s="26">
        <v>0.0</v>
      </c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</row>
    <row r="127">
      <c r="A127" s="22" t="s">
        <v>182</v>
      </c>
      <c r="B127" s="11">
        <v>46125.0</v>
      </c>
      <c r="C127" s="8" t="s">
        <v>24</v>
      </c>
      <c r="D127" s="8" t="s">
        <v>109</v>
      </c>
      <c r="E127" s="8" t="s">
        <v>110</v>
      </c>
      <c r="F127" s="8">
        <v>22.0</v>
      </c>
      <c r="G127" s="6">
        <v>64.0</v>
      </c>
      <c r="H127" s="8"/>
      <c r="I127" s="8">
        <v>6.0</v>
      </c>
      <c r="J127" s="6">
        <v>64.0</v>
      </c>
      <c r="K127" s="8">
        <v>64.0</v>
      </c>
      <c r="L127" s="25">
        <v>64.0</v>
      </c>
      <c r="M127" s="6">
        <f t="shared" si="1"/>
        <v>64</v>
      </c>
      <c r="N127" s="9">
        <f t="shared" si="2"/>
        <v>0</v>
      </c>
      <c r="O127" s="26">
        <v>0.0</v>
      </c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</row>
    <row r="128">
      <c r="A128" s="30" t="s">
        <v>183</v>
      </c>
      <c r="B128" s="11">
        <v>46114.0</v>
      </c>
      <c r="C128" s="8" t="s">
        <v>24</v>
      </c>
      <c r="D128" s="8" t="s">
        <v>184</v>
      </c>
      <c r="E128" s="8" t="s">
        <v>185</v>
      </c>
      <c r="F128" s="8">
        <v>22.0</v>
      </c>
      <c r="G128" s="6">
        <v>47.0</v>
      </c>
      <c r="H128" s="8"/>
      <c r="I128" s="6">
        <v>6.0</v>
      </c>
      <c r="J128" s="8">
        <v>47.0</v>
      </c>
      <c r="K128" s="8">
        <v>47.0</v>
      </c>
      <c r="L128" s="25">
        <v>47.0</v>
      </c>
      <c r="M128" s="6">
        <f t="shared" si="1"/>
        <v>47</v>
      </c>
      <c r="N128" s="9">
        <f t="shared" si="2"/>
        <v>0</v>
      </c>
      <c r="O128" s="26">
        <v>0.0</v>
      </c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</row>
    <row r="129">
      <c r="A129" s="22" t="s">
        <v>186</v>
      </c>
      <c r="B129" s="7">
        <v>46114.0</v>
      </c>
      <c r="C129" s="6" t="s">
        <v>18</v>
      </c>
      <c r="D129" s="6" t="s">
        <v>184</v>
      </c>
      <c r="E129" s="6" t="s">
        <v>185</v>
      </c>
      <c r="F129" s="6">
        <v>22.0</v>
      </c>
      <c r="G129" s="6">
        <v>47.0</v>
      </c>
      <c r="H129" s="6"/>
      <c r="I129" s="6"/>
      <c r="J129" s="6">
        <v>47.0</v>
      </c>
      <c r="K129" s="6">
        <v>47.0</v>
      </c>
      <c r="L129" s="25">
        <v>47.0</v>
      </c>
      <c r="M129" s="6">
        <f t="shared" si="1"/>
        <v>47</v>
      </c>
      <c r="N129" s="9">
        <f t="shared" si="2"/>
        <v>0</v>
      </c>
      <c r="O129" s="26">
        <v>0.0</v>
      </c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</row>
    <row r="130">
      <c r="A130" s="22" t="s">
        <v>187</v>
      </c>
      <c r="B130" s="7">
        <v>46114.0</v>
      </c>
      <c r="C130" s="6" t="s">
        <v>18</v>
      </c>
      <c r="D130" s="6" t="s">
        <v>184</v>
      </c>
      <c r="E130" s="6" t="s">
        <v>188</v>
      </c>
      <c r="F130" s="6">
        <v>22.0</v>
      </c>
      <c r="G130" s="6">
        <v>47.0</v>
      </c>
      <c r="H130" s="6"/>
      <c r="I130" s="6"/>
      <c r="J130" s="6">
        <v>47.0</v>
      </c>
      <c r="K130" s="6">
        <v>47.0</v>
      </c>
      <c r="L130" s="25">
        <v>47.0</v>
      </c>
      <c r="M130" s="6">
        <f t="shared" si="1"/>
        <v>47</v>
      </c>
      <c r="N130" s="9">
        <f t="shared" si="2"/>
        <v>0</v>
      </c>
      <c r="O130" s="26">
        <v>0.0</v>
      </c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</row>
    <row r="131">
      <c r="A131" s="22" t="s">
        <v>189</v>
      </c>
      <c r="B131" s="7">
        <v>46114.0</v>
      </c>
      <c r="C131" s="6" t="s">
        <v>18</v>
      </c>
      <c r="D131" s="6" t="s">
        <v>184</v>
      </c>
      <c r="E131" s="6" t="s">
        <v>185</v>
      </c>
      <c r="F131" s="6">
        <v>22.0</v>
      </c>
      <c r="G131" s="14">
        <v>59.0</v>
      </c>
      <c r="H131" s="6"/>
      <c r="I131" s="6"/>
      <c r="J131" s="6"/>
      <c r="K131" s="6">
        <v>59.0</v>
      </c>
      <c r="L131" s="25">
        <v>5.0</v>
      </c>
      <c r="M131" s="6">
        <f t="shared" si="1"/>
        <v>32</v>
      </c>
      <c r="N131" s="9">
        <f t="shared" si="2"/>
        <v>54</v>
      </c>
      <c r="O131" s="26">
        <v>0.0</v>
      </c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</row>
    <row r="132">
      <c r="A132" s="22" t="s">
        <v>190</v>
      </c>
      <c r="B132" s="7">
        <v>46114.0</v>
      </c>
      <c r="C132" s="6" t="s">
        <v>18</v>
      </c>
      <c r="D132" s="6" t="s">
        <v>184</v>
      </c>
      <c r="E132" s="6" t="s">
        <v>188</v>
      </c>
      <c r="F132" s="6">
        <v>22.0</v>
      </c>
      <c r="G132" s="14">
        <v>59.0</v>
      </c>
      <c r="H132" s="6"/>
      <c r="I132" s="6"/>
      <c r="J132" s="6"/>
      <c r="K132" s="6">
        <v>59.0</v>
      </c>
      <c r="L132" s="25">
        <v>5.0</v>
      </c>
      <c r="M132" s="6">
        <f t="shared" si="1"/>
        <v>32</v>
      </c>
      <c r="N132" s="9">
        <f t="shared" si="2"/>
        <v>54</v>
      </c>
      <c r="O132" s="26">
        <v>0.0</v>
      </c>
      <c r="P132" s="10"/>
      <c r="Q132" s="6" t="s">
        <v>191</v>
      </c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</row>
    <row r="133">
      <c r="A133" s="30" t="s">
        <v>192</v>
      </c>
      <c r="B133" s="11">
        <v>46114.0</v>
      </c>
      <c r="C133" s="8" t="s">
        <v>24</v>
      </c>
      <c r="D133" s="8" t="s">
        <v>184</v>
      </c>
      <c r="E133" s="8" t="s">
        <v>185</v>
      </c>
      <c r="F133" s="8">
        <v>22.0</v>
      </c>
      <c r="G133" s="14">
        <v>59.0</v>
      </c>
      <c r="H133" s="8"/>
      <c r="I133" s="6">
        <v>6.0</v>
      </c>
      <c r="J133" s="14" t="s">
        <v>36</v>
      </c>
      <c r="K133" s="6">
        <v>59.0</v>
      </c>
      <c r="L133" s="25">
        <v>5.0</v>
      </c>
      <c r="M133" s="6">
        <f t="shared" si="1"/>
        <v>32</v>
      </c>
      <c r="N133" s="9">
        <f t="shared" si="2"/>
        <v>54</v>
      </c>
      <c r="O133" s="26">
        <v>0.0</v>
      </c>
      <c r="P133" s="13"/>
      <c r="Q133" s="8" t="s">
        <v>193</v>
      </c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</row>
    <row r="134">
      <c r="A134" s="8" t="s">
        <v>194</v>
      </c>
      <c r="B134" s="11">
        <v>46132.0</v>
      </c>
      <c r="C134" s="8" t="s">
        <v>24</v>
      </c>
      <c r="D134" s="8" t="s">
        <v>184</v>
      </c>
      <c r="E134" s="8" t="s">
        <v>185</v>
      </c>
      <c r="F134" s="8">
        <v>22.0</v>
      </c>
      <c r="G134" s="14">
        <v>88.0</v>
      </c>
      <c r="H134" s="6"/>
      <c r="I134" s="6">
        <v>6.0</v>
      </c>
      <c r="J134" s="14" t="s">
        <v>36</v>
      </c>
      <c r="K134" s="6">
        <v>88.0</v>
      </c>
      <c r="L134" s="6">
        <v>108.0</v>
      </c>
      <c r="M134" s="6">
        <f t="shared" si="1"/>
        <v>98</v>
      </c>
      <c r="N134" s="9">
        <f t="shared" si="2"/>
        <v>20</v>
      </c>
      <c r="O134" s="26">
        <v>0.0</v>
      </c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</row>
    <row r="135">
      <c r="A135" s="6" t="s">
        <v>195</v>
      </c>
      <c r="B135" s="7">
        <v>46132.0</v>
      </c>
      <c r="C135" s="6" t="s">
        <v>18</v>
      </c>
      <c r="D135" s="6" t="s">
        <v>184</v>
      </c>
      <c r="E135" s="6" t="s">
        <v>185</v>
      </c>
      <c r="F135" s="6">
        <v>22.0</v>
      </c>
      <c r="G135" s="14">
        <v>88.0</v>
      </c>
      <c r="H135" s="6"/>
      <c r="I135" s="6"/>
      <c r="J135" s="6"/>
      <c r="K135" s="6">
        <v>88.0</v>
      </c>
      <c r="L135" s="6">
        <v>108.0</v>
      </c>
      <c r="M135" s="6">
        <f t="shared" si="1"/>
        <v>98</v>
      </c>
      <c r="N135" s="9">
        <f t="shared" si="2"/>
        <v>20</v>
      </c>
      <c r="O135" s="26">
        <v>0.0</v>
      </c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</row>
    <row r="136">
      <c r="A136" s="8" t="s">
        <v>196</v>
      </c>
      <c r="B136" s="11">
        <v>46132.0</v>
      </c>
      <c r="C136" s="8" t="s">
        <v>24</v>
      </c>
      <c r="D136" s="8" t="s">
        <v>184</v>
      </c>
      <c r="E136" s="8" t="s">
        <v>185</v>
      </c>
      <c r="F136" s="8">
        <v>22.0</v>
      </c>
      <c r="G136" s="6">
        <v>54.0</v>
      </c>
      <c r="H136" s="6"/>
      <c r="I136" s="6">
        <v>6.0</v>
      </c>
      <c r="J136" s="6">
        <v>56.0</v>
      </c>
      <c r="K136" s="6">
        <v>54.0</v>
      </c>
      <c r="L136" s="6">
        <v>58.0</v>
      </c>
      <c r="M136" s="6">
        <f t="shared" si="1"/>
        <v>56</v>
      </c>
      <c r="N136" s="9">
        <f t="shared" si="2"/>
        <v>4</v>
      </c>
      <c r="O136" s="26">
        <v>0.0</v>
      </c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</row>
    <row r="137">
      <c r="A137" s="6" t="s">
        <v>197</v>
      </c>
      <c r="B137" s="7">
        <v>46132.0</v>
      </c>
      <c r="C137" s="6" t="s">
        <v>18</v>
      </c>
      <c r="D137" s="6" t="s">
        <v>184</v>
      </c>
      <c r="E137" s="6" t="s">
        <v>188</v>
      </c>
      <c r="F137" s="6">
        <v>22.0</v>
      </c>
      <c r="G137" s="14">
        <v>71.0</v>
      </c>
      <c r="H137" s="6"/>
      <c r="I137" s="6"/>
      <c r="J137" s="6"/>
      <c r="K137" s="6">
        <v>71.0</v>
      </c>
      <c r="L137" s="6">
        <v>114.0</v>
      </c>
      <c r="M137" s="6">
        <f t="shared" si="1"/>
        <v>92.5</v>
      </c>
      <c r="N137" s="9">
        <f t="shared" si="2"/>
        <v>43</v>
      </c>
      <c r="O137" s="26">
        <v>0.0</v>
      </c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</row>
    <row r="138">
      <c r="A138" s="8" t="s">
        <v>198</v>
      </c>
      <c r="B138" s="11">
        <v>46132.0</v>
      </c>
      <c r="C138" s="8" t="s">
        <v>24</v>
      </c>
      <c r="D138" s="8" t="s">
        <v>184</v>
      </c>
      <c r="E138" s="8" t="s">
        <v>188</v>
      </c>
      <c r="F138" s="8">
        <v>22.0</v>
      </c>
      <c r="G138" s="14">
        <v>71.0</v>
      </c>
      <c r="H138" s="8"/>
      <c r="I138" s="8">
        <v>6.0</v>
      </c>
      <c r="J138" s="14" t="s">
        <v>36</v>
      </c>
      <c r="K138" s="8">
        <v>71.0</v>
      </c>
      <c r="L138" s="6">
        <v>114.0</v>
      </c>
      <c r="M138" s="6">
        <f t="shared" si="1"/>
        <v>92.5</v>
      </c>
      <c r="N138" s="9">
        <f t="shared" si="2"/>
        <v>43</v>
      </c>
      <c r="O138" s="26">
        <v>0.0</v>
      </c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</row>
    <row r="139">
      <c r="A139" s="13"/>
      <c r="B139" s="13"/>
      <c r="C139" s="8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31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31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31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31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31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31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31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31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31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31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31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31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31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31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31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31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31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31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31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31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31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31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31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31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31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31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31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31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31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31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31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31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31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31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31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31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31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31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31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31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31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31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31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31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31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31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31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31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31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31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31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31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31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31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31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31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31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31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31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31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31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31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31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</row>
    <row r="20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31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</row>
    <row r="203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31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</row>
    <row r="204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31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</row>
    <row r="20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31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</row>
    <row r="206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31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</row>
    <row r="207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31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</row>
    <row r="208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31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</row>
    <row r="209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31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</row>
    <row r="210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31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</row>
    <row r="211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31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</row>
    <row r="21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31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</row>
    <row r="213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31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</row>
    <row r="214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31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</row>
    <row r="215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31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</row>
    <row r="216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31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</row>
    <row r="217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31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</row>
    <row r="218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31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</row>
    <row r="219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31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</row>
    <row r="220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31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</row>
    <row r="221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31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</row>
    <row r="22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31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</row>
    <row r="223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31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</row>
    <row r="224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31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</row>
    <row r="225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31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</row>
    <row r="226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31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</row>
    <row r="227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31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</row>
    <row r="228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31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</row>
    <row r="229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31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</row>
    <row r="230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31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</row>
    <row r="231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31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</row>
    <row r="23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31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</row>
    <row r="233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31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</row>
    <row r="234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31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</row>
    <row r="235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31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</row>
    <row r="236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31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</row>
    <row r="237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31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</row>
    <row r="238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31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</row>
    <row r="239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31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</row>
    <row r="240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31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</row>
    <row r="241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31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</row>
    <row r="24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31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</row>
    <row r="243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31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</row>
    <row r="244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31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</row>
    <row r="245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31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</row>
    <row r="246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31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</row>
    <row r="247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31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</row>
    <row r="248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31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</row>
    <row r="249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31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</row>
    <row r="250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31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</row>
    <row r="251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31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</row>
    <row r="25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31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</row>
    <row r="253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31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</row>
    <row r="254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31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</row>
    <row r="255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31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</row>
    <row r="256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31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</row>
    <row r="257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31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</row>
    <row r="258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31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</row>
    <row r="259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31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</row>
    <row r="260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31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</row>
    <row r="261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31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</row>
    <row r="26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31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</row>
    <row r="263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31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</row>
    <row r="264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31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</row>
    <row r="265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31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</row>
    <row r="266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31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</row>
    <row r="267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31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</row>
    <row r="268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31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</row>
    <row r="269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31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</row>
    <row r="270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31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</row>
    <row r="271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31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</row>
    <row r="27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31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</row>
    <row r="273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31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</row>
    <row r="274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31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</row>
    <row r="275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31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</row>
    <row r="276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31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</row>
    <row r="277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31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</row>
    <row r="278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31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31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</row>
    <row r="280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31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31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</row>
    <row r="28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31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31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</row>
    <row r="284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31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31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</row>
    <row r="286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31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31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</row>
    <row r="288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31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31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</row>
    <row r="290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31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31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</row>
    <row r="29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31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31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</row>
    <row r="294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31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31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</row>
    <row r="296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31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31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</row>
    <row r="298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31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31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</row>
    <row r="300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31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31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</row>
    <row r="30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31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31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</row>
    <row r="304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31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31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</row>
    <row r="306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31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31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</row>
    <row r="308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31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31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</row>
    <row r="310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31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31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</row>
    <row r="31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31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31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</row>
    <row r="314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31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31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</row>
    <row r="316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31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31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</row>
    <row r="318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31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31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</row>
    <row r="320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31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31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</row>
    <row r="32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31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31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</row>
    <row r="324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31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31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</row>
    <row r="326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31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31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</row>
    <row r="328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31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31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</row>
    <row r="330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31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31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</row>
    <row r="33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31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31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</row>
    <row r="334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31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31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</row>
    <row r="336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31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31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</row>
    <row r="338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31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31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</row>
    <row r="340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31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31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</row>
    <row r="34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31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31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</row>
    <row r="344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31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31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</row>
    <row r="346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31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31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</row>
    <row r="348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31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31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</row>
    <row r="350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31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31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</row>
    <row r="35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31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31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</row>
    <row r="354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31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31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</row>
    <row r="356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31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31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</row>
    <row r="358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31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31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</row>
    <row r="360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31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31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</row>
    <row r="36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31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31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</row>
    <row r="364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31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31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</row>
    <row r="366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31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31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</row>
    <row r="368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31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31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</row>
    <row r="370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31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31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</row>
    <row r="37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31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31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</row>
    <row r="374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31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31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</row>
    <row r="376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31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31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</row>
    <row r="378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31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31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</row>
    <row r="380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31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31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</row>
    <row r="38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31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31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</row>
    <row r="384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31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31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</row>
    <row r="386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31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31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</row>
    <row r="388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31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31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</row>
    <row r="390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31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31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</row>
    <row r="39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31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31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</row>
    <row r="394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31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31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</row>
    <row r="396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31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31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</row>
    <row r="398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31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31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</row>
    <row r="400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31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31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</row>
    <row r="40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31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31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</row>
    <row r="404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31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31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</row>
    <row r="406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31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31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</row>
    <row r="408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31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31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</row>
    <row r="410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31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31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</row>
    <row r="41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31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31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</row>
    <row r="414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31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31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</row>
    <row r="416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31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31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</row>
    <row r="418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31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31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</row>
    <row r="420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31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31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</row>
    <row r="42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31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31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</row>
    <row r="424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31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31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</row>
    <row r="426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31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31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</row>
    <row r="428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31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31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</row>
    <row r="430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31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31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</row>
    <row r="43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31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31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</row>
    <row r="434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31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31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</row>
    <row r="436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31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31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</row>
    <row r="438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31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31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</row>
    <row r="440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31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31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</row>
    <row r="44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31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31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</row>
    <row r="444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31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31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</row>
    <row r="446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31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31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</row>
    <row r="448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31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31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</row>
    <row r="450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31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31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</row>
    <row r="45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31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31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</row>
    <row r="454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31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31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</row>
    <row r="456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31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31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</row>
    <row r="458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31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31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</row>
    <row r="460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31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31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</row>
    <row r="46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31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31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</row>
    <row r="464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31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31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</row>
    <row r="466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31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31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</row>
    <row r="468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31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31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</row>
    <row r="470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31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31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</row>
    <row r="47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31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31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</row>
    <row r="474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31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31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</row>
    <row r="476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31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31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</row>
    <row r="478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31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31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</row>
    <row r="480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31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31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</row>
    <row r="48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31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31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</row>
    <row r="484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31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31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</row>
    <row r="486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31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31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</row>
    <row r="488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31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31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</row>
    <row r="490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31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31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</row>
    <row r="49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31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31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</row>
    <row r="494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31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31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</row>
    <row r="496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31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31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</row>
    <row r="498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31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31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</row>
    <row r="500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31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31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</row>
    <row r="50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31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31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</row>
    <row r="504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31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31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</row>
    <row r="506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31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31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</row>
    <row r="508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31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31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</row>
    <row r="510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31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31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</row>
    <row r="51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31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31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</row>
    <row r="514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31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31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</row>
    <row r="516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31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31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</row>
    <row r="518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31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31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</row>
    <row r="520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31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31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</row>
    <row r="52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31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31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</row>
    <row r="524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31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31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</row>
    <row r="526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31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31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</row>
    <row r="528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31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31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</row>
    <row r="530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31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31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</row>
    <row r="53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31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31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</row>
    <row r="534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31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31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</row>
    <row r="536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31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31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</row>
    <row r="538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31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31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</row>
    <row r="540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31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31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</row>
    <row r="54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31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31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</row>
    <row r="544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31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31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</row>
    <row r="546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31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31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</row>
    <row r="548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31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31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</row>
    <row r="550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31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31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</row>
    <row r="55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31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31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</row>
    <row r="554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31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31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</row>
    <row r="556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31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31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</row>
    <row r="558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31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31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</row>
    <row r="560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31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31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</row>
    <row r="56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31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31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</row>
    <row r="564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31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31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</row>
    <row r="566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31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31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</row>
    <row r="568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31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31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</row>
    <row r="570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31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31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</row>
    <row r="57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31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31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</row>
    <row r="574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31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31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</row>
    <row r="576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31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31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</row>
    <row r="578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31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31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</row>
    <row r="580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31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31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</row>
    <row r="58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31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31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</row>
    <row r="584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31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31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</row>
    <row r="586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31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31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</row>
    <row r="588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31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31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</row>
    <row r="590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31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31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</row>
    <row r="59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31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31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</row>
    <row r="594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31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31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</row>
    <row r="596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31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31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</row>
    <row r="598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31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31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</row>
    <row r="600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31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31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</row>
    <row r="60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31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31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</row>
    <row r="604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31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31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</row>
    <row r="606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31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31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</row>
    <row r="608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31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31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</row>
    <row r="610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31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31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</row>
    <row r="61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31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31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</row>
    <row r="614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31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31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</row>
    <row r="616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31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31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</row>
    <row r="618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31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31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</row>
    <row r="620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31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31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</row>
    <row r="62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31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31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</row>
    <row r="624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31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31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</row>
    <row r="626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31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31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</row>
    <row r="628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31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31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</row>
    <row r="630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31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31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</row>
    <row r="63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31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31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</row>
    <row r="634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31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31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</row>
    <row r="636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31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31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</row>
    <row r="638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31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31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</row>
    <row r="640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31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31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</row>
    <row r="64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31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31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</row>
    <row r="644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31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31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</row>
    <row r="646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31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31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</row>
    <row r="648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31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31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</row>
    <row r="650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31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31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</row>
    <row r="65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31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31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</row>
    <row r="654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31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31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</row>
    <row r="656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31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31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</row>
    <row r="658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31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31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</row>
    <row r="660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31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31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</row>
    <row r="66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31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31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</row>
    <row r="664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31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31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</row>
    <row r="666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31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31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</row>
    <row r="668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31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31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</row>
    <row r="670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31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31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</row>
    <row r="67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31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31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</row>
    <row r="674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31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31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</row>
    <row r="676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31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31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</row>
    <row r="678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31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31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</row>
    <row r="680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31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31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</row>
    <row r="68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31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31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</row>
    <row r="684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31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31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</row>
    <row r="686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31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31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</row>
    <row r="688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31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31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</row>
    <row r="690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31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31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</row>
    <row r="69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31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31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</row>
    <row r="694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31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31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</row>
    <row r="696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31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31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</row>
    <row r="698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31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31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</row>
    <row r="700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31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31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</row>
    <row r="70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31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31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</row>
    <row r="704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31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31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</row>
    <row r="706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31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31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</row>
    <row r="708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31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31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</row>
    <row r="710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31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31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</row>
    <row r="71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31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31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</row>
    <row r="714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31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31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</row>
    <row r="716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31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31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</row>
    <row r="718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31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31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</row>
    <row r="720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31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31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</row>
    <row r="72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31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31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</row>
    <row r="724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31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31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</row>
    <row r="726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31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31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</row>
    <row r="728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31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31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</row>
    <row r="730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31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31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</row>
    <row r="73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31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31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</row>
    <row r="734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31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31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</row>
    <row r="736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31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31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</row>
    <row r="738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31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31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</row>
    <row r="740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31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31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</row>
    <row r="74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31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31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</row>
    <row r="744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31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31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</row>
    <row r="746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31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31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</row>
    <row r="748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31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31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</row>
    <row r="750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31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31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</row>
    <row r="75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31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31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</row>
    <row r="754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31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31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</row>
    <row r="756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31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31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</row>
    <row r="758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31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31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</row>
    <row r="760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31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31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</row>
    <row r="76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31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31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</row>
    <row r="764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31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31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</row>
    <row r="766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31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31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</row>
    <row r="768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31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31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</row>
    <row r="770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31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31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</row>
    <row r="77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31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31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</row>
    <row r="774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31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31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</row>
    <row r="776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31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31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</row>
    <row r="778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31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31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</row>
    <row r="780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31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31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</row>
    <row r="78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31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31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</row>
    <row r="784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31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31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</row>
    <row r="786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31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31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</row>
    <row r="788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31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31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</row>
    <row r="790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31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31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</row>
    <row r="79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31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31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</row>
    <row r="794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31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31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</row>
    <row r="796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31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31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</row>
    <row r="798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31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31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31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31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31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31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31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31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31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31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31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31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31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31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31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31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31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31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31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31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31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31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31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31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31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31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31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31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31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31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31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31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31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31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31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31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31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31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31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31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31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31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31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31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31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31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31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31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31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31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31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31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31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31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31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31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31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31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31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31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31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31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31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31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31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31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31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31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31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31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31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31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31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31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31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31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31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31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31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31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31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31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31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31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31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31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31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31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31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31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31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31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31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31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31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31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31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31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31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31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31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31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31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31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31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31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31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31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31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31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31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31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31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31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31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31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31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31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31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31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31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31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31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31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31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31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31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31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31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31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31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31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31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31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31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31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31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31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31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31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31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31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31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31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31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31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31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31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31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31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31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31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31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31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31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31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31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31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31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31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31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31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31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31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31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31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31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31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31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31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31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31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31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31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31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31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31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31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31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31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31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31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31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31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31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31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31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31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</row>
    <row r="986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31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31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</row>
    <row r="988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31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31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</row>
    <row r="990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31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31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</row>
    <row r="99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31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31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</row>
    <row r="994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31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31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</row>
    <row r="996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31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31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</row>
    <row r="998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31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</row>
    <row r="999">
      <c r="A999" s="13"/>
      <c r="B999" s="13"/>
      <c r="C999" s="8"/>
      <c r="D999" s="13"/>
      <c r="E999" s="13"/>
      <c r="F999" s="21"/>
      <c r="G999" s="13"/>
      <c r="H999" s="13"/>
      <c r="I999" s="13"/>
      <c r="J999" s="13"/>
      <c r="K999" s="13"/>
      <c r="L999" s="13"/>
      <c r="M999" s="13"/>
      <c r="N999" s="31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</row>
  </sheetData>
  <autoFilter ref="$A$1:$AL$999">
    <sortState ref="A1:AL999">
      <sortCondition descending="1" ref="D1:D999"/>
      <sortCondition ref="A1:A999"/>
      <sortCondition ref="C1:C999"/>
      <sortCondition ref="E1:E999"/>
      <sortCondition ref="B1:B999"/>
      <sortCondition descending="1" sortBy="cellColor" ref="N1:N999" dxfId="1"/>
      <sortCondition ref="F1:F999"/>
    </sortState>
  </autoFilter>
  <drawing r:id="rId1"/>
</worksheet>
</file>